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D:\BigData\Company\ExcelConvertYML\"/>
    </mc:Choice>
  </mc:AlternateContent>
  <xr:revisionPtr revIDLastSave="0" documentId="13_ncr:1_{83E539AD-B90A-4257-9034-6FEB96120EAE}" xr6:coauthVersionLast="47" xr6:coauthVersionMax="47" xr10:uidLastSave="{00000000-0000-0000-0000-000000000000}"/>
  <bookViews>
    <workbookView xWindow="-108" yWindow="-108" windowWidth="23256" windowHeight="12456" xr2:uid="{34C01043-216F-4BB9-B3BE-8E1986C41B5D}"/>
  </bookViews>
  <sheets>
    <sheet name="Guildline" sheetId="6" r:id="rId1"/>
    <sheet name="Create yml" sheetId="4" r:id="rId2"/>
    <sheet name="general" sheetId="5" r:id="rId3"/>
    <sheet name="sources" sheetId="1" r:id="rId4"/>
    <sheet name="table_colums" sheetId="7" r:id="rId5"/>
    <sheet name="hub_biz_key" sheetId="2" r:id="rId6"/>
    <sheet name="sat_key" sheetId="9" r:id="rId7"/>
    <sheet name="dbt_type" sheetId="3" r:id="rId8"/>
  </sheets>
  <functionGroups builtInGroupCount="19"/>
  <definedNames>
    <definedName name="table_name">sources!$A:$A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2" l="1"/>
  <c r="G6" i="2"/>
  <c r="H6" i="2"/>
  <c r="I6" i="2"/>
  <c r="J6" i="2"/>
  <c r="K6" i="2"/>
  <c r="L6" i="2"/>
  <c r="M6" i="2"/>
  <c r="F7" i="2"/>
  <c r="G7" i="2"/>
  <c r="H7" i="2"/>
  <c r="I7" i="2"/>
  <c r="J7" i="2"/>
  <c r="K7" i="2"/>
  <c r="L7" i="2"/>
  <c r="M7" i="2"/>
  <c r="F8" i="2"/>
  <c r="G8" i="2"/>
  <c r="H8" i="2"/>
  <c r="I8" i="2"/>
  <c r="J8" i="2"/>
  <c r="K8" i="2"/>
  <c r="L8" i="2"/>
  <c r="M8" i="2"/>
  <c r="F9" i="2"/>
  <c r="G9" i="2"/>
  <c r="H9" i="2"/>
  <c r="I9" i="2"/>
  <c r="J9" i="2"/>
  <c r="K9" i="2"/>
  <c r="L9" i="2"/>
  <c r="M9" i="2"/>
  <c r="F10" i="2"/>
  <c r="G10" i="2"/>
  <c r="H10" i="2"/>
  <c r="I10" i="2"/>
  <c r="J10" i="2"/>
  <c r="K10" i="2"/>
  <c r="L10" i="2"/>
  <c r="M10" i="2"/>
  <c r="F11" i="2"/>
  <c r="G11" i="2"/>
  <c r="H11" i="2"/>
  <c r="I11" i="2"/>
  <c r="J11" i="2"/>
  <c r="K11" i="2"/>
  <c r="L11" i="2"/>
  <c r="M11" i="2"/>
  <c r="F12" i="2"/>
  <c r="G12" i="2"/>
  <c r="H12" i="2"/>
  <c r="I12" i="2"/>
  <c r="J12" i="2"/>
  <c r="K12" i="2"/>
  <c r="L12" i="2"/>
  <c r="M12" i="2"/>
  <c r="F13" i="2"/>
  <c r="G13" i="2"/>
  <c r="H13" i="2"/>
  <c r="I13" i="2"/>
  <c r="J13" i="2"/>
  <c r="K13" i="2"/>
  <c r="L13" i="2"/>
  <c r="M13" i="2"/>
  <c r="F14" i="2"/>
  <c r="G14" i="2"/>
  <c r="H14" i="2"/>
  <c r="I14" i="2"/>
  <c r="J14" i="2"/>
  <c r="K14" i="2"/>
  <c r="L14" i="2"/>
  <c r="M14" i="2"/>
  <c r="F15" i="2"/>
  <c r="G15" i="2"/>
  <c r="H15" i="2"/>
  <c r="I15" i="2"/>
  <c r="J15" i="2"/>
  <c r="K15" i="2"/>
  <c r="L15" i="2"/>
  <c r="M15" i="2"/>
  <c r="F16" i="2"/>
  <c r="G16" i="2"/>
  <c r="H16" i="2"/>
  <c r="I16" i="2"/>
  <c r="J16" i="2"/>
  <c r="K16" i="2"/>
  <c r="L16" i="2"/>
  <c r="M16" i="2"/>
  <c r="F17" i="2"/>
  <c r="G17" i="2"/>
  <c r="H17" i="2"/>
  <c r="I17" i="2"/>
  <c r="J17" i="2"/>
  <c r="K17" i="2"/>
  <c r="L17" i="2"/>
  <c r="M17" i="2"/>
  <c r="F18" i="2"/>
  <c r="G18" i="2"/>
  <c r="H18" i="2"/>
  <c r="I18" i="2"/>
  <c r="J18" i="2"/>
  <c r="K18" i="2"/>
  <c r="L18" i="2"/>
  <c r="M18" i="2"/>
  <c r="F19" i="2"/>
  <c r="G19" i="2"/>
  <c r="H19" i="2"/>
  <c r="I19" i="2"/>
  <c r="J19" i="2"/>
  <c r="K19" i="2"/>
  <c r="L19" i="2"/>
  <c r="M19" i="2"/>
  <c r="F20" i="2"/>
  <c r="G20" i="2"/>
  <c r="H20" i="2"/>
  <c r="I20" i="2"/>
  <c r="J20" i="2"/>
  <c r="K20" i="2"/>
  <c r="L20" i="2"/>
  <c r="M20" i="2"/>
  <c r="M2" i="2"/>
  <c r="L2" i="2"/>
  <c r="K2" i="2"/>
  <c r="J2" i="2"/>
  <c r="I2" i="2"/>
  <c r="H2" i="2"/>
  <c r="G2" i="2"/>
  <c r="F2" i="2"/>
  <c r="M5" i="2"/>
  <c r="L5" i="2"/>
  <c r="J5" i="2"/>
  <c r="I5" i="2"/>
  <c r="H5" i="2"/>
  <c r="G5" i="2"/>
  <c r="K5" i="2" s="1"/>
  <c r="F5" i="2"/>
  <c r="M4" i="2"/>
  <c r="L4" i="2"/>
  <c r="J4" i="2"/>
  <c r="I4" i="2"/>
  <c r="H4" i="2"/>
  <c r="G4" i="2"/>
  <c r="K4" i="2" s="1"/>
  <c r="F4" i="2"/>
  <c r="M3" i="2"/>
  <c r="L3" i="2"/>
  <c r="J3" i="2"/>
  <c r="I3" i="2"/>
  <c r="H3" i="2"/>
  <c r="G3" i="2"/>
  <c r="K3" i="2" s="1"/>
  <c r="F3" i="2"/>
  <c r="F40" i="7"/>
  <c r="G40" i="7" s="1"/>
  <c r="H40" i="7"/>
  <c r="F34" i="7"/>
  <c r="G34" i="7" s="1"/>
  <c r="F35" i="7"/>
  <c r="G35" i="7" s="1"/>
  <c r="F36" i="7"/>
  <c r="G36" i="7" s="1"/>
  <c r="F37" i="7"/>
  <c r="G37" i="7" s="1"/>
  <c r="F38" i="7"/>
  <c r="G38" i="7" s="1"/>
  <c r="F39" i="7"/>
  <c r="G39" i="7" s="1"/>
  <c r="H34" i="7"/>
  <c r="H35" i="7"/>
  <c r="H36" i="7"/>
  <c r="H37" i="7"/>
  <c r="H38" i="7"/>
  <c r="H39" i="7"/>
  <c r="F33" i="7"/>
  <c r="G33" i="7" s="1"/>
  <c r="H33" i="7"/>
  <c r="F20" i="7"/>
  <c r="G20" i="7" s="1"/>
  <c r="F21" i="7"/>
  <c r="G21" i="7" s="1"/>
  <c r="F22" i="7"/>
  <c r="G22" i="7" s="1"/>
  <c r="F23" i="7"/>
  <c r="G23" i="7" s="1"/>
  <c r="F24" i="7"/>
  <c r="G24" i="7" s="1"/>
  <c r="F25" i="7"/>
  <c r="G25" i="7" s="1"/>
  <c r="F26" i="7"/>
  <c r="G26" i="7" s="1"/>
  <c r="F27" i="7"/>
  <c r="G27" i="7" s="1"/>
  <c r="F28" i="7"/>
  <c r="G28" i="7" s="1"/>
  <c r="F29" i="7"/>
  <c r="G29" i="7" s="1"/>
  <c r="F30" i="7"/>
  <c r="G30" i="7" s="1"/>
  <c r="F31" i="7"/>
  <c r="G31" i="7" s="1"/>
  <c r="F32" i="7"/>
  <c r="G32" i="7" s="1"/>
  <c r="H20" i="7"/>
  <c r="H21" i="7"/>
  <c r="H22" i="7"/>
  <c r="H23" i="7"/>
  <c r="H24" i="7"/>
  <c r="H25" i="7"/>
  <c r="H26" i="7"/>
  <c r="H27" i="7"/>
  <c r="H28" i="7"/>
  <c r="H29" i="7"/>
  <c r="H30" i="7"/>
  <c r="H31" i="7"/>
  <c r="H32" i="7"/>
  <c r="G19" i="7"/>
  <c r="H19" i="7"/>
  <c r="F18" i="7"/>
  <c r="G18" i="7" s="1"/>
  <c r="F17" i="7"/>
  <c r="G17" i="7" s="1"/>
  <c r="F16" i="7"/>
  <c r="G16" i="7" s="1"/>
  <c r="F15" i="7"/>
  <c r="G15" i="7" s="1"/>
  <c r="F14" i="7"/>
  <c r="G14" i="7" s="1"/>
  <c r="F13" i="7"/>
  <c r="G13" i="7" s="1"/>
  <c r="F12" i="7"/>
  <c r="G12" i="7" s="1"/>
  <c r="F11" i="7"/>
  <c r="G11" i="7" s="1"/>
  <c r="F10" i="7"/>
  <c r="G10" i="7" s="1"/>
  <c r="F9" i="7"/>
  <c r="F8" i="7"/>
  <c r="G8" i="7" s="1"/>
  <c r="F7" i="7"/>
  <c r="G7" i="7" s="1"/>
  <c r="F6" i="7"/>
  <c r="G6" i="7" s="1"/>
  <c r="F5" i="7"/>
  <c r="G5" i="7" s="1"/>
  <c r="F4" i="7"/>
  <c r="G4" i="7" s="1"/>
  <c r="F3" i="7"/>
  <c r="G3" i="7" s="1"/>
  <c r="G2" i="7"/>
  <c r="G9" i="7"/>
  <c r="A3" i="3"/>
  <c r="A4" i="3"/>
  <c r="A5" i="3"/>
  <c r="A6" i="3"/>
  <c r="A7" i="3"/>
  <c r="A8" i="3"/>
  <c r="A9" i="3"/>
  <c r="A10" i="3"/>
  <c r="A11" i="3"/>
  <c r="A12" i="3"/>
  <c r="A13" i="3"/>
  <c r="A14" i="3"/>
  <c r="A15" i="3"/>
  <c r="A16" i="3"/>
  <c r="A17" i="3"/>
  <c r="A18" i="3"/>
  <c r="A19" i="3"/>
  <c r="A20" i="3"/>
  <c r="A21" i="3"/>
  <c r="A22" i="3"/>
  <c r="A23" i="3"/>
  <c r="A24" i="3"/>
  <c r="A25" i="3"/>
  <c r="A26" i="3"/>
  <c r="A27" i="3"/>
  <c r="A2" i="3"/>
  <c r="H2" i="7"/>
  <c r="H3" i="7"/>
  <c r="H4" i="7"/>
  <c r="H5" i="7"/>
  <c r="H6" i="7"/>
  <c r="H7" i="7"/>
  <c r="H8" i="7"/>
  <c r="H9" i="7"/>
  <c r="H10" i="7"/>
  <c r="H11" i="7"/>
  <c r="H12" i="7"/>
  <c r="H13" i="7"/>
  <c r="H14" i="7"/>
  <c r="H15" i="7"/>
  <c r="H16" i="7"/>
  <c r="H17" i="7"/>
  <c r="H18" i="7"/>
  <c r="G7" i="9"/>
  <c r="G8" i="9"/>
  <c r="G9" i="9"/>
  <c r="G10" i="9"/>
  <c r="G11" i="9"/>
  <c r="G12" i="9"/>
  <c r="G13" i="9"/>
  <c r="G14" i="9"/>
  <c r="G15" i="9"/>
  <c r="G16" i="9"/>
  <c r="G17" i="9"/>
  <c r="G18" i="9"/>
  <c r="D7" i="9"/>
  <c r="D8" i="9"/>
  <c r="D9" i="9"/>
  <c r="D10" i="9"/>
  <c r="D11" i="9"/>
  <c r="D12" i="9"/>
  <c r="D13" i="9"/>
  <c r="D14" i="9"/>
  <c r="D15" i="9"/>
  <c r="D16" i="9"/>
  <c r="D17" i="9"/>
  <c r="D18" i="9"/>
  <c r="A1" i="9" a="1"/>
  <c r="A1" i="9" s="1"/>
  <c r="F18" i="9"/>
  <c r="E18" i="9"/>
  <c r="C18" i="9"/>
  <c r="B18" i="9"/>
  <c r="F17" i="9"/>
  <c r="E17" i="9"/>
  <c r="C17" i="9"/>
  <c r="B17" i="9"/>
  <c r="F16" i="9"/>
  <c r="E16" i="9"/>
  <c r="C16" i="9"/>
  <c r="B16" i="9"/>
  <c r="F15" i="9"/>
  <c r="E15" i="9"/>
  <c r="C15" i="9"/>
  <c r="B15" i="9"/>
  <c r="F14" i="9"/>
  <c r="E14" i="9"/>
  <c r="C14" i="9"/>
  <c r="B14" i="9"/>
  <c r="F13" i="9"/>
  <c r="E13" i="9"/>
  <c r="C13" i="9"/>
  <c r="B13" i="9"/>
  <c r="F12" i="9"/>
  <c r="E12" i="9"/>
  <c r="C12" i="9"/>
  <c r="B12" i="9"/>
  <c r="F11" i="9"/>
  <c r="E11" i="9"/>
  <c r="C11" i="9"/>
  <c r="B11" i="9"/>
  <c r="F10" i="9"/>
  <c r="E10" i="9"/>
  <c r="C10" i="9"/>
  <c r="B10" i="9"/>
  <c r="F9" i="9"/>
  <c r="E9" i="9"/>
  <c r="C9" i="9"/>
  <c r="B9" i="9"/>
  <c r="F8" i="9"/>
  <c r="E8" i="9"/>
  <c r="C8" i="9"/>
  <c r="B8" i="9"/>
  <c r="F7" i="9"/>
  <c r="E7" i="9"/>
  <c r="C7" i="9"/>
  <c r="B7" i="9"/>
  <c r="A1" i="2" a="1"/>
  <c r="A1" i="2" s="1"/>
  <c r="D6" i="9" l="1"/>
  <c r="G6" i="9"/>
  <c r="D5" i="9"/>
  <c r="G5" i="9"/>
  <c r="D2" i="9"/>
  <c r="D3" i="9"/>
  <c r="G2" i="9"/>
  <c r="D4" i="9"/>
  <c r="G4" i="9"/>
  <c r="G3" i="9"/>
  <c r="B5" i="9"/>
  <c r="C4" i="9"/>
  <c r="C5" i="9"/>
  <c r="C6" i="9"/>
  <c r="B4" i="9"/>
  <c r="B6" i="9"/>
  <c r="E4" i="9"/>
  <c r="E5" i="9"/>
  <c r="E6" i="9"/>
  <c r="F3" i="9"/>
  <c r="F4" i="9"/>
  <c r="F5" i="9"/>
  <c r="F6" i="9"/>
  <c r="B2" i="9"/>
  <c r="B3" i="9"/>
  <c r="C2" i="9"/>
  <c r="C3" i="9"/>
  <c r="E2" i="9"/>
  <c r="E3" i="9"/>
  <c r="F2"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<sst xmlns="http://schemas.openxmlformats.org/spreadsheetml/2006/main" count="370" uniqueCount="176">
  <si>
    <t>source</t>
  </si>
  <si>
    <t>COREBANK_CUSTOMER</t>
  </si>
  <si>
    <t>CORECARD_CUSTOMER</t>
  </si>
  <si>
    <t>REF_EOD</t>
  </si>
  <si>
    <t>CRM_CUSTOMER</t>
  </si>
  <si>
    <t>COREBANK_CORP</t>
  </si>
  <si>
    <t>CORECARD_CORP</t>
  </si>
  <si>
    <t>CUS_CUSTOMER_CODE</t>
  </si>
  <si>
    <t>CUS_GENDER</t>
  </si>
  <si>
    <t>CUS_BIRTH_INCORP_DATE</t>
  </si>
  <si>
    <t>CUS_NATIONALITY</t>
  </si>
  <si>
    <t>CUS_LEGAL_DOC_NAME</t>
  </si>
  <si>
    <t>CUS_LEGAL_ISS_DATE</t>
  </si>
  <si>
    <t>CUS_POSITION</t>
  </si>
  <si>
    <t>CUS_SECTOR</t>
  </si>
  <si>
    <t>CUS_CREATION_DATE</t>
  </si>
  <si>
    <t>CUS_NAME_1</t>
  </si>
  <si>
    <t>CUS_STREET</t>
  </si>
  <si>
    <t>CUS_ADDRESS</t>
  </si>
  <si>
    <t>CUS_MOBILE_NUMBER</t>
  </si>
  <si>
    <t>bigint</t>
  </si>
  <si>
    <t>CUS_EMAIL_1</t>
  </si>
  <si>
    <t>CUS_LEGAL_ID</t>
  </si>
  <si>
    <t>CUS_LEGAL_ISS_AUTH</t>
  </si>
  <si>
    <t>string</t>
  </si>
  <si>
    <t>date</t>
  </si>
  <si>
    <t>int</t>
  </si>
  <si>
    <t>BRN_CODE</t>
  </si>
  <si>
    <t>source_system_ccd</t>
  </si>
  <si>
    <t>CORE</t>
  </si>
  <si>
    <t>CARD</t>
  </si>
  <si>
    <t>CRM</t>
  </si>
  <si>
    <t>dtype</t>
  </si>
  <si>
    <t>hash_key_hub</t>
  </si>
  <si>
    <t>biz_key</t>
  </si>
  <si>
    <t>description</t>
  </si>
  <si>
    <t>hub</t>
  </si>
  <si>
    <t>hub_core_indi</t>
  </si>
  <si>
    <t>source_dtype</t>
  </si>
  <si>
    <t>integration_demo</t>
  </si>
  <si>
    <t>biz_key_type</t>
  </si>
  <si>
    <t>hub_parent_table</t>
  </si>
  <si>
    <t>HUB_INDI</t>
  </si>
  <si>
    <t>HUB_CORP</t>
  </si>
  <si>
    <t>hub_target_entity_type</t>
  </si>
  <si>
    <t>hub_target_table</t>
  </si>
  <si>
    <t>hub_card_indi</t>
  </si>
  <si>
    <t>hub_crm_indi</t>
  </si>
  <si>
    <t>hub_core_corp</t>
  </si>
  <si>
    <t>hub_card_corp</t>
  </si>
  <si>
    <t>Tạo file source.yml</t>
  </si>
  <si>
    <t>version: 2
sources:
  - name: source
    schema: source
    tables:
      - name: corebank_customer
      - name: corecard_customer
      - name: ref_eod
      - name: crm_customer
      - name: corebank_corp
      - name: corecard_corp</t>
  </si>
  <si>
    <t>version</t>
  </si>
  <si>
    <t>STT</t>
  </si>
  <si>
    <t>Nội dung</t>
  </si>
  <si>
    <t>Chi tiết mô tả</t>
  </si>
  <si>
    <t>source_type</t>
  </si>
  <si>
    <t>varchar</t>
  </si>
  <si>
    <t>char</t>
  </si>
  <si>
    <t>integer</t>
  </si>
  <si>
    <t>double</t>
  </si>
  <si>
    <t>timestamp</t>
  </si>
  <si>
    <t>sat_target_entity_type</t>
  </si>
  <si>
    <t>sat_target_table</t>
  </si>
  <si>
    <t>sat</t>
  </si>
  <si>
    <t>SAT_CORE_INDI</t>
  </si>
  <si>
    <t>SAT_CARD_INDI</t>
  </si>
  <si>
    <t>SAT_CRM_INDI</t>
  </si>
  <si>
    <t>SAT_CORE_CORP</t>
  </si>
  <si>
    <t>SAT_CARD_CORP</t>
  </si>
  <si>
    <t>Sheet lấy thông tin</t>
  </si>
  <si>
    <t>sources</t>
  </si>
  <si>
    <t>source_column_name</t>
  </si>
  <si>
    <t>target_column</t>
  </si>
  <si>
    <t>attr_value</t>
  </si>
  <si>
    <t>general</t>
  </si>
  <si>
    <t>Template yml</t>
  </si>
  <si>
    <t>general, sources</t>
  </si>
  <si>
    <t>Tạo file hub_{entity_name}.yml</t>
  </si>
  <si>
    <t>## Thông tin chung
collision_code: CARD
description: ''
source_schema: source
source_table: corecard_corp
target_entity_type: hub
target_schema: integration_demo
target_table: hub_card_corp</t>
  </si>
  <si>
    <t>Tạo file sat_{entity_name}.yml</t>
  </si>
  <si>
    <t xml:space="preserve">## Thông tin chung
collision_code: CARD
description: ''
parent_table: hub_corp
source_schema: source
source_table: corecard_corp
target_entity_type: sat
target_schema: integration_demo
target_table: sat_card_corp </t>
  </si>
  <si>
    <t>source_system_name</t>
  </si>
  <si>
    <t>source_schema_name</t>
  </si>
  <si>
    <t>target_schema_name</t>
  </si>
  <si>
    <t>table_name</t>
  </si>
  <si>
    <t>source_table_name</t>
  </si>
  <si>
    <t>source_data_type</t>
  </si>
  <si>
    <t>index_key</t>
  </si>
  <si>
    <t>attr_name</t>
  </si>
  <si>
    <t>biz_key_data_type</t>
  </si>
  <si>
    <t>## Thông tin chi tiết columns hash_key_hub
columns:
- dtype: string
  key_type: hash_key_hub
  source:
  - CO_CORPORATE_ID
  target: dv_hkey_hub_corp</t>
  </si>
  <si>
    <t>sources, general</t>
  </si>
  <si>
    <t>biz_key_column</t>
  </si>
  <si>
    <t>hub_biz_key</t>
  </si>
  <si>
    <t>## Thông tin chi tiết columns biz_key  
- dtype: int
  key_type: biz_key
  source:
    dtype: int
    name: CO_CORPORATE_ID
  target: CUS_CUSTOMER_CODE</t>
  </si>
  <si>
    <t xml:space="preserve">## Thông tin chi tiết columns có hash_key
columns:
- dtype: string
  key_type: hash_key_sat
  source: 'null'
  target: dv_hkey_sat_card_corp
- dtype: string
  key_type: hash_key_hub
  source:
  - CO_CORPORATE_ID
  target: dv_hkey_hub_corp
- dtype: string
  key_type: hash_diff
  target: dv_hsh_dif
</t>
  </si>
  <si>
    <t>## Thông tin chi tiết columns còn lại
- dtype: string
  source:
    dtype: string
    name: CO_COMPANY_NAME
  target: CO_COMPANY_NAME
- dtype: bigint
  source:
    dtype: bigint
    name: CB_CUSTOMER_CODE
  target: CB_CUSTOMER_CODE
- dtype: string
  source:
    dtype: string
    name: CUS_ESTAB_CODE
  target: CUS_ESTAB_CODE</t>
  </si>
  <si>
    <t>hash_key_sat</t>
  </si>
  <si>
    <t>sat_target_column</t>
  </si>
  <si>
    <t>sat_key</t>
  </si>
  <si>
    <t>hash_diff_key_type</t>
  </si>
  <si>
    <t>hash_diff_key_data_type</t>
  </si>
  <si>
    <t>hash_diff_target</t>
  </si>
  <si>
    <t>hash_diff</t>
  </si>
  <si>
    <t>dv_hsh_dif</t>
  </si>
  <si>
    <t>sat_target_data_type</t>
  </si>
  <si>
    <t>table_colums</t>
  </si>
  <si>
    <t>table_columns</t>
  </si>
  <si>
    <r>
      <t xml:space="preserve">1. Tên file yml là giá trị của cột </t>
    </r>
    <r>
      <rPr>
        <b/>
        <i/>
        <sz val="12"/>
        <color theme="1"/>
        <rFont val="Calibri"/>
        <family val="2"/>
      </rPr>
      <t xml:space="preserve">hub_target_table. </t>
    </r>
    <r>
      <rPr>
        <sz val="12"/>
        <color theme="1"/>
        <rFont val="Calibri"/>
        <family val="2"/>
      </rPr>
      <t xml:space="preserve">Chỉ tạo các file yml với giá trị cột </t>
    </r>
    <r>
      <rPr>
        <i/>
        <sz val="12"/>
        <color theme="1"/>
        <rFont val="Calibri"/>
        <family val="2"/>
      </rPr>
      <t>hub_target_table</t>
    </r>
    <r>
      <rPr>
        <sz val="12"/>
        <color theme="1"/>
        <rFont val="Calibri"/>
        <family val="2"/>
      </rPr>
      <t xml:space="preserve"> </t>
    </r>
    <r>
      <rPr>
        <b/>
        <sz val="12"/>
        <color theme="1"/>
        <rFont val="Calibri"/>
        <family val="2"/>
      </rPr>
      <t>not blank</t>
    </r>
    <r>
      <rPr>
        <sz val="12"/>
        <color theme="1"/>
        <rFont val="Calibri"/>
        <family val="2"/>
      </rPr>
      <t xml:space="preserve">
- collision_code: lấy dữ liệu từ cột </t>
    </r>
    <r>
      <rPr>
        <i/>
        <sz val="12"/>
        <color theme="1"/>
        <rFont val="Calibri"/>
        <family val="2"/>
      </rPr>
      <t>source_system_ccd</t>
    </r>
    <r>
      <rPr>
        <sz val="12"/>
        <color theme="1"/>
        <rFont val="Calibri"/>
        <family val="2"/>
      </rPr>
      <t xml:space="preserve">
- description: lấy dữ liệu từ cột </t>
    </r>
    <r>
      <rPr>
        <i/>
        <sz val="12"/>
        <color theme="1"/>
        <rFont val="Calibri"/>
        <family val="2"/>
      </rPr>
      <t>description</t>
    </r>
    <r>
      <rPr>
        <sz val="12"/>
        <color theme="1"/>
        <rFont val="Calibri"/>
        <family val="2"/>
      </rPr>
      <t xml:space="preserve">
- source_schema: Cách lấy giống sources/schema của file </t>
    </r>
    <r>
      <rPr>
        <b/>
        <sz val="12"/>
        <color theme="1"/>
        <rFont val="Calibri"/>
        <family val="2"/>
      </rPr>
      <t xml:space="preserve">source.yml </t>
    </r>
    <r>
      <rPr>
        <sz val="12"/>
        <color theme="1"/>
        <rFont val="Calibri"/>
        <family val="2"/>
      </rPr>
      <t xml:space="preserve">ở phần 1
- source_table: lấy dữ liệu từ cột </t>
    </r>
    <r>
      <rPr>
        <i/>
        <sz val="12"/>
        <color theme="1"/>
        <rFont val="Calibri"/>
        <family val="2"/>
      </rPr>
      <t>table_name</t>
    </r>
    <r>
      <rPr>
        <sz val="12"/>
        <color theme="1"/>
        <rFont val="Calibri"/>
        <family val="2"/>
      </rPr>
      <t xml:space="preserve">
- target_entity_type: lấy dữ liệu từ cột </t>
    </r>
    <r>
      <rPr>
        <i/>
        <sz val="12"/>
        <color theme="1"/>
        <rFont val="Calibri"/>
        <family val="2"/>
      </rPr>
      <t>hub_target_entity_type</t>
    </r>
    <r>
      <rPr>
        <sz val="12"/>
        <color theme="1"/>
        <rFont val="Calibri"/>
        <family val="2"/>
      </rPr>
      <t xml:space="preserve">
- target_schema: lấy thông tin giá trị của </t>
    </r>
    <r>
      <rPr>
        <b/>
        <i/>
        <sz val="12"/>
        <color theme="1"/>
        <rFont val="Calibri"/>
        <family val="2"/>
      </rPr>
      <t>target_schema</t>
    </r>
    <r>
      <rPr>
        <sz val="12"/>
        <color theme="1"/>
        <rFont val="Calibri"/>
        <family val="2"/>
      </rPr>
      <t xml:space="preserve"> trong sheet </t>
    </r>
    <r>
      <rPr>
        <i/>
        <sz val="12"/>
        <color theme="1"/>
        <rFont val="Calibri"/>
        <family val="2"/>
      </rPr>
      <t>general</t>
    </r>
    <r>
      <rPr>
        <sz val="12"/>
        <color theme="1"/>
        <rFont val="Calibri"/>
        <family val="2"/>
      </rPr>
      <t xml:space="preserve">
- target_table: lấy dữ liệu từ cột </t>
    </r>
    <r>
      <rPr>
        <i/>
        <sz val="12"/>
        <color theme="1"/>
        <rFont val="Calibri"/>
        <family val="2"/>
      </rPr>
      <t>hub_target_table</t>
    </r>
    <r>
      <rPr>
        <sz val="12"/>
        <color theme="1"/>
        <rFont val="Calibri"/>
        <family val="2"/>
      </rPr>
      <t xml:space="preserve">
</t>
    </r>
  </si>
  <si>
    <r>
      <rPr>
        <b/>
        <sz val="12"/>
        <color theme="1"/>
        <rFont val="Calibri"/>
        <family val="2"/>
      </rPr>
      <t>2. Hash_key_hub</t>
    </r>
    <r>
      <rPr>
        <sz val="12"/>
        <color theme="1"/>
        <rFont val="Calibri"/>
        <family val="2"/>
      </rPr>
      <t xml:space="preserve">: sheet </t>
    </r>
    <r>
      <rPr>
        <b/>
        <i/>
        <sz val="12"/>
        <color theme="1"/>
        <rFont val="Calibri"/>
        <family val="2"/>
      </rPr>
      <t>hub_biz_key</t>
    </r>
    <r>
      <rPr>
        <sz val="12"/>
        <color theme="1"/>
        <rFont val="Calibri"/>
        <family val="2"/>
      </rPr>
      <t xml:space="preserve"> được sinh ra khi định nghĩa xong các sheet </t>
    </r>
    <r>
      <rPr>
        <i/>
        <sz val="12"/>
        <color theme="1"/>
        <rFont val="Calibri"/>
        <family val="2"/>
      </rPr>
      <t>general, sources, table_columns</t>
    </r>
    <r>
      <rPr>
        <sz val="12"/>
        <color theme="1"/>
        <rFont val="Calibri"/>
        <family val="2"/>
      </rPr>
      <t xml:space="preserve">
- dtype: lấy giá trị của cột </t>
    </r>
    <r>
      <rPr>
        <i/>
        <sz val="12"/>
        <color theme="1"/>
        <rFont val="Calibri"/>
        <family val="2"/>
      </rPr>
      <t>hash_key_data_type (unique)</t>
    </r>
    <r>
      <rPr>
        <sz val="12"/>
        <color theme="1"/>
        <rFont val="Calibri"/>
        <family val="2"/>
      </rPr>
      <t xml:space="preserve">
- key_type: lấy giá trị của cột </t>
    </r>
    <r>
      <rPr>
        <i/>
        <sz val="12"/>
        <color theme="1"/>
        <rFont val="Calibri"/>
        <family val="2"/>
      </rPr>
      <t>hash_key_type (unique)</t>
    </r>
    <r>
      <rPr>
        <sz val="12"/>
        <color theme="1"/>
        <rFont val="Calibri"/>
        <family val="2"/>
      </rPr>
      <t xml:space="preserve">
- source: list các giá trị trong cột </t>
    </r>
    <r>
      <rPr>
        <i/>
        <sz val="12"/>
        <color theme="1"/>
        <rFont val="Calibri"/>
        <family val="2"/>
      </rPr>
      <t>source_column_name</t>
    </r>
    <r>
      <rPr>
        <sz val="12"/>
        <color theme="1"/>
        <rFont val="Calibri"/>
        <family val="2"/>
      </rPr>
      <t xml:space="preserve"> dùng để sinh </t>
    </r>
    <r>
      <rPr>
        <b/>
        <sz val="12"/>
        <color theme="1"/>
        <rFont val="Calibri"/>
        <family val="2"/>
      </rPr>
      <t>hash_key_hub</t>
    </r>
    <r>
      <rPr>
        <sz val="12"/>
        <color theme="1"/>
        <rFont val="Calibri"/>
        <family val="2"/>
      </rPr>
      <t xml:space="preserve"> order theo </t>
    </r>
    <r>
      <rPr>
        <b/>
        <i/>
        <sz val="12"/>
        <color theme="1"/>
        <rFont val="Calibri"/>
        <family val="2"/>
      </rPr>
      <t>index_key</t>
    </r>
    <r>
      <rPr>
        <sz val="12"/>
        <color theme="1"/>
        <rFont val="Calibri"/>
        <family val="2"/>
      </rPr>
      <t xml:space="preserve">
- target: lấy giá trị của cột </t>
    </r>
    <r>
      <rPr>
        <i/>
        <sz val="12"/>
        <color theme="1"/>
        <rFont val="Calibri"/>
        <family val="2"/>
      </rPr>
      <t>target_column (unique)</t>
    </r>
    <r>
      <rPr>
        <sz val="12"/>
        <color theme="1"/>
        <rFont val="Calibri"/>
        <family val="2"/>
      </rPr>
      <t xml:space="preserve">
</t>
    </r>
  </si>
  <si>
    <r>
      <rPr>
        <b/>
        <sz val="12"/>
        <color theme="1"/>
        <rFont val="Calibri"/>
        <family val="2"/>
      </rPr>
      <t>3. Biz_key</t>
    </r>
    <r>
      <rPr>
        <sz val="12"/>
        <color theme="1"/>
        <rFont val="Calibri"/>
        <family val="2"/>
      </rPr>
      <t xml:space="preserve">: 
- dtype: lấy dữ liệu từ cột </t>
    </r>
    <r>
      <rPr>
        <i/>
        <sz val="12"/>
        <color theme="1"/>
        <rFont val="Calibri"/>
        <family val="2"/>
      </rPr>
      <t>biz_key_data_type (unique)</t>
    </r>
    <r>
      <rPr>
        <sz val="12"/>
        <color theme="1"/>
        <rFont val="Calibri"/>
        <family val="2"/>
      </rPr>
      <t xml:space="preserve">
- key_type: lấy giá trị của cột </t>
    </r>
    <r>
      <rPr>
        <i/>
        <sz val="12"/>
        <color theme="1"/>
        <rFont val="Calibri"/>
        <family val="2"/>
      </rPr>
      <t>biz_key_type (unique)</t>
    </r>
    <r>
      <rPr>
        <sz val="12"/>
        <color theme="1"/>
        <rFont val="Calibri"/>
        <family val="2"/>
      </rPr>
      <t xml:space="preserve">
- source: list các giá trị trong cột source_column_name dùng để sinh </t>
    </r>
    <r>
      <rPr>
        <b/>
        <i/>
        <sz val="12"/>
        <color theme="1"/>
        <rFont val="Calibri"/>
        <family val="2"/>
      </rPr>
      <t>biz_key</t>
    </r>
    <r>
      <rPr>
        <sz val="12"/>
        <color theme="1"/>
        <rFont val="Calibri"/>
        <family val="2"/>
      </rPr>
      <t xml:space="preserve"> order theo </t>
    </r>
    <r>
      <rPr>
        <b/>
        <i/>
        <sz val="12"/>
        <color theme="1"/>
        <rFont val="Calibri"/>
        <family val="2"/>
      </rPr>
      <t>index_key</t>
    </r>
    <r>
      <rPr>
        <sz val="12"/>
        <color theme="1"/>
        <rFont val="Calibri"/>
        <family val="2"/>
      </rPr>
      <t xml:space="preserve">
    dtype:  lấy giá trị của cột </t>
    </r>
    <r>
      <rPr>
        <i/>
        <sz val="12"/>
        <color theme="1"/>
        <rFont val="Calibri"/>
        <family val="2"/>
      </rPr>
      <t>source_dtype</t>
    </r>
    <r>
      <rPr>
        <sz val="12"/>
        <color theme="1"/>
        <rFont val="Calibri"/>
        <family val="2"/>
      </rPr>
      <t xml:space="preserve">
    name: lấy giá trị của cột </t>
    </r>
    <r>
      <rPr>
        <i/>
        <sz val="12"/>
        <color theme="1"/>
        <rFont val="Calibri"/>
        <family val="2"/>
      </rPr>
      <t>source_column_name</t>
    </r>
    <r>
      <rPr>
        <sz val="12"/>
        <color theme="1"/>
        <rFont val="Calibri"/>
        <family val="2"/>
      </rPr>
      <t xml:space="preserve">
- target: lấy giá trị của cột biz_key_column (</t>
    </r>
    <r>
      <rPr>
        <i/>
        <sz val="12"/>
        <color theme="1"/>
        <rFont val="Calibri"/>
        <family val="2"/>
      </rPr>
      <t>unique</t>
    </r>
    <r>
      <rPr>
        <sz val="12"/>
        <color theme="1"/>
        <rFont val="Calibri"/>
        <family val="2"/>
      </rPr>
      <t>)</t>
    </r>
  </si>
  <si>
    <r>
      <t xml:space="preserve">1. Tên file yml là giá trị của cột </t>
    </r>
    <r>
      <rPr>
        <b/>
        <i/>
        <sz val="12"/>
        <color theme="1"/>
        <rFont val="Calibri"/>
        <family val="2"/>
      </rPr>
      <t xml:space="preserve">sat_target_table. </t>
    </r>
    <r>
      <rPr>
        <sz val="12"/>
        <color theme="1"/>
        <rFont val="Calibri"/>
        <family val="2"/>
      </rPr>
      <t xml:space="preserve">Chỉ tạo các file với giá trị cột </t>
    </r>
    <r>
      <rPr>
        <i/>
        <sz val="12"/>
        <color theme="1"/>
        <rFont val="Calibri"/>
        <family val="2"/>
      </rPr>
      <t>sat_target_table</t>
    </r>
    <r>
      <rPr>
        <sz val="12"/>
        <color theme="1"/>
        <rFont val="Calibri"/>
        <family val="2"/>
      </rPr>
      <t xml:space="preserve"> </t>
    </r>
    <r>
      <rPr>
        <b/>
        <sz val="12"/>
        <color theme="1"/>
        <rFont val="Calibri"/>
        <family val="2"/>
      </rPr>
      <t>not blank</t>
    </r>
    <r>
      <rPr>
        <sz val="12"/>
        <color theme="1"/>
        <rFont val="Calibri"/>
        <family val="2"/>
      </rPr>
      <t xml:space="preserve">
- collision_code: lấy dữ liệu từ cột </t>
    </r>
    <r>
      <rPr>
        <i/>
        <sz val="12"/>
        <color theme="1"/>
        <rFont val="Calibri"/>
        <family val="2"/>
      </rPr>
      <t>source_system_ccd</t>
    </r>
    <r>
      <rPr>
        <sz val="12"/>
        <color theme="1"/>
        <rFont val="Calibri"/>
        <family val="2"/>
      </rPr>
      <t xml:space="preserve">
- description: lấy dữ liệu từ cột </t>
    </r>
    <r>
      <rPr>
        <i/>
        <sz val="12"/>
        <color theme="1"/>
        <rFont val="Calibri"/>
        <family val="2"/>
      </rPr>
      <t xml:space="preserve">description
- </t>
    </r>
    <r>
      <rPr>
        <sz val="12"/>
        <color theme="1"/>
        <rFont val="Calibri"/>
        <family val="2"/>
      </rPr>
      <t xml:space="preserve">parent_table: lấy dữ liệu từ cột </t>
    </r>
    <r>
      <rPr>
        <i/>
        <sz val="12"/>
        <color theme="1"/>
        <rFont val="Calibri"/>
        <family val="2"/>
      </rPr>
      <t>hub_parent_table</t>
    </r>
    <r>
      <rPr>
        <sz val="12"/>
        <color theme="1"/>
        <rFont val="Calibri"/>
        <family val="2"/>
      </rPr>
      <t xml:space="preserve">
- source_schema: Cách lấy giống </t>
    </r>
    <r>
      <rPr>
        <i/>
        <sz val="12"/>
        <color theme="1"/>
        <rFont val="Calibri"/>
        <family val="2"/>
      </rPr>
      <t>sources/schema</t>
    </r>
    <r>
      <rPr>
        <sz val="12"/>
        <color theme="1"/>
        <rFont val="Calibri"/>
        <family val="2"/>
      </rPr>
      <t xml:space="preserve"> của file </t>
    </r>
    <r>
      <rPr>
        <b/>
        <i/>
        <sz val="12"/>
        <color theme="1"/>
        <rFont val="Calibri"/>
        <family val="2"/>
      </rPr>
      <t>source.yml</t>
    </r>
    <r>
      <rPr>
        <sz val="12"/>
        <color theme="1"/>
        <rFont val="Calibri"/>
        <family val="2"/>
      </rPr>
      <t xml:space="preserve"> ở phần 1
- source_table: lấy dữ liệu từ cột </t>
    </r>
    <r>
      <rPr>
        <i/>
        <sz val="12"/>
        <color theme="1"/>
        <rFont val="Calibri"/>
        <family val="2"/>
      </rPr>
      <t>table_name</t>
    </r>
    <r>
      <rPr>
        <sz val="12"/>
        <color theme="1"/>
        <rFont val="Calibri"/>
        <family val="2"/>
      </rPr>
      <t xml:space="preserve">
- target_entity_type: lấy dữ liệu từ cột </t>
    </r>
    <r>
      <rPr>
        <i/>
        <sz val="12"/>
        <color theme="1"/>
        <rFont val="Calibri"/>
        <family val="2"/>
      </rPr>
      <t>sat_target_entity_type</t>
    </r>
    <r>
      <rPr>
        <sz val="12"/>
        <color theme="1"/>
        <rFont val="Calibri"/>
        <family val="2"/>
      </rPr>
      <t xml:space="preserve">
- target_schema: lấy thông tin giá trị của </t>
    </r>
    <r>
      <rPr>
        <i/>
        <sz val="12"/>
        <color theme="1"/>
        <rFont val="Calibri"/>
        <family val="2"/>
      </rPr>
      <t>target_schema_name</t>
    </r>
    <r>
      <rPr>
        <sz val="12"/>
        <color theme="1"/>
        <rFont val="Calibri"/>
        <family val="2"/>
      </rPr>
      <t xml:space="preserve"> trong sheet </t>
    </r>
    <r>
      <rPr>
        <b/>
        <i/>
        <sz val="12"/>
        <color theme="1"/>
        <rFont val="Calibri"/>
        <family val="2"/>
      </rPr>
      <t>general</t>
    </r>
    <r>
      <rPr>
        <sz val="12"/>
        <color theme="1"/>
        <rFont val="Calibri"/>
        <family val="2"/>
      </rPr>
      <t xml:space="preserve">
- target_table: lấy dữ liệu từ cột </t>
    </r>
    <r>
      <rPr>
        <i/>
        <sz val="12"/>
        <color theme="1"/>
        <rFont val="Calibri"/>
        <family val="2"/>
      </rPr>
      <t xml:space="preserve">sat_target_table </t>
    </r>
    <r>
      <rPr>
        <sz val="12"/>
        <color theme="1"/>
        <rFont val="Calibri"/>
        <family val="2"/>
      </rPr>
      <t xml:space="preserve">
</t>
    </r>
  </si>
  <si>
    <r>
      <t xml:space="preserve">2. </t>
    </r>
    <r>
      <rPr>
        <b/>
        <sz val="12"/>
        <color theme="1"/>
        <rFont val="Calibri"/>
        <family val="2"/>
      </rPr>
      <t>Hash_key_sat</t>
    </r>
    <r>
      <rPr>
        <sz val="12"/>
        <color theme="1"/>
        <rFont val="Calibri"/>
        <family val="2"/>
      </rPr>
      <t xml:space="preserve">: sheet </t>
    </r>
    <r>
      <rPr>
        <i/>
        <sz val="12"/>
        <color theme="1"/>
        <rFont val="Calibri"/>
        <family val="2"/>
      </rPr>
      <t>sat_key</t>
    </r>
    <r>
      <rPr>
        <sz val="12"/>
        <color theme="1"/>
        <rFont val="Calibri"/>
        <family val="2"/>
      </rPr>
      <t xml:space="preserve">
- dtype: lấy giá trị của cột sat_key_data_type
- key_type: lấy giá trị của cột sat_key_type 
- source: default 'null'
- target: lấy giá trị của cột sat_target_column
3. </t>
    </r>
    <r>
      <rPr>
        <b/>
        <sz val="12"/>
        <color theme="1"/>
        <rFont val="Calibri"/>
        <family val="2"/>
      </rPr>
      <t>Hash_key_hub</t>
    </r>
    <r>
      <rPr>
        <sz val="12"/>
        <color theme="1"/>
        <rFont val="Calibri"/>
        <family val="2"/>
      </rPr>
      <t xml:space="preserve">: sheet </t>
    </r>
    <r>
      <rPr>
        <i/>
        <sz val="12"/>
        <color theme="1"/>
        <rFont val="Calibri"/>
        <family val="2"/>
      </rPr>
      <t>hub_biz_key</t>
    </r>
    <r>
      <rPr>
        <sz val="12"/>
        <color theme="1"/>
        <rFont val="Calibri"/>
        <family val="2"/>
      </rPr>
      <t xml:space="preserve">, thông tin giống Hash_key_hub lấy ở phần 2 khi tạo </t>
    </r>
    <r>
      <rPr>
        <i/>
        <sz val="12"/>
        <color theme="1"/>
        <rFont val="Calibri"/>
        <family val="2"/>
      </rPr>
      <t xml:space="preserve">hub_{entity_name}.yml
</t>
    </r>
    <r>
      <rPr>
        <sz val="12"/>
        <color theme="1"/>
        <rFont val="Calibri"/>
        <family val="2"/>
      </rPr>
      <t xml:space="preserve">4. </t>
    </r>
    <r>
      <rPr>
        <b/>
        <sz val="12"/>
        <color theme="1"/>
        <rFont val="Calibri"/>
        <family val="2"/>
      </rPr>
      <t>Hash_diff</t>
    </r>
    <r>
      <rPr>
        <sz val="12"/>
        <color theme="1"/>
        <rFont val="Calibri"/>
        <family val="2"/>
      </rPr>
      <t xml:space="preserve">: sheet sat_key
- dtype: lấy giá trị cột </t>
    </r>
    <r>
      <rPr>
        <i/>
        <sz val="12"/>
        <color theme="1"/>
        <rFont val="Calibri"/>
        <family val="2"/>
      </rPr>
      <t>hash_diff_key_data_type</t>
    </r>
    <r>
      <rPr>
        <sz val="12"/>
        <color theme="1"/>
        <rFont val="Calibri"/>
        <family val="2"/>
      </rPr>
      <t xml:space="preserve">
- key_type: lấy giá trị cột </t>
    </r>
    <r>
      <rPr>
        <i/>
        <sz val="12"/>
        <color theme="1"/>
        <rFont val="Calibri"/>
        <family val="2"/>
      </rPr>
      <t>hash_diff_key_type</t>
    </r>
    <r>
      <rPr>
        <sz val="12"/>
        <color theme="1"/>
        <rFont val="Calibri"/>
        <family val="2"/>
      </rPr>
      <t xml:space="preserve">
- target: lấy giá trị cột </t>
    </r>
    <r>
      <rPr>
        <i/>
        <sz val="12"/>
        <color theme="1"/>
        <rFont val="Calibri"/>
        <family val="2"/>
      </rPr>
      <t>hash_diff_target</t>
    </r>
    <r>
      <rPr>
        <sz val="12"/>
        <color theme="1"/>
        <rFont val="Calibri"/>
        <family val="2"/>
      </rPr>
      <t xml:space="preserve">
</t>
    </r>
  </si>
  <si>
    <r>
      <t xml:space="preserve">5. Các cột chi tiết trong SAT lấy từ nguồn: chỉ lấy các dòng có giá trị </t>
    </r>
    <r>
      <rPr>
        <b/>
        <sz val="12"/>
        <color theme="1"/>
        <rFont val="Calibri"/>
        <family val="2"/>
      </rPr>
      <t>sat_target_column</t>
    </r>
    <r>
      <rPr>
        <sz val="12"/>
        <color theme="1"/>
        <rFont val="Calibri"/>
        <family val="2"/>
      </rPr>
      <t xml:space="preserve">
- dtype: lấy dữ liệu từ cột </t>
    </r>
    <r>
      <rPr>
        <i/>
        <sz val="12"/>
        <color theme="1"/>
        <rFont val="Calibri"/>
        <family val="2"/>
      </rPr>
      <t>sat_target_data_type</t>
    </r>
    <r>
      <rPr>
        <sz val="12"/>
        <color theme="1"/>
        <rFont val="Calibri"/>
        <family val="2"/>
      </rPr>
      <t xml:space="preserve">
- source: 
    dtype:  lấy dữ liệu từ cột </t>
    </r>
    <r>
      <rPr>
        <i/>
        <sz val="12"/>
        <color theme="1"/>
        <rFont val="Calibri"/>
        <family val="2"/>
      </rPr>
      <t>source_data_type</t>
    </r>
    <r>
      <rPr>
        <sz val="12"/>
        <color theme="1"/>
        <rFont val="Calibri"/>
        <family val="2"/>
      </rPr>
      <t xml:space="preserve">
    name: lấy dữ liệu từ cột </t>
    </r>
    <r>
      <rPr>
        <i/>
        <sz val="12"/>
        <color theme="1"/>
        <rFont val="Calibri"/>
        <family val="2"/>
      </rPr>
      <t>source_column_name</t>
    </r>
    <r>
      <rPr>
        <sz val="12"/>
        <color theme="1"/>
        <rFont val="Calibri"/>
        <family val="2"/>
      </rPr>
      <t xml:space="preserve">
- target: lấy dữ liệu từ cột </t>
    </r>
    <r>
      <rPr>
        <i/>
        <sz val="12"/>
        <color theme="1"/>
        <rFont val="Calibri"/>
        <family val="2"/>
      </rPr>
      <t>sat_target_column</t>
    </r>
  </si>
  <si>
    <t>hash_key_lnk</t>
  </si>
  <si>
    <t>binary</t>
  </si>
  <si>
    <t>hub_hkey_type</t>
  </si>
  <si>
    <t>hub_hkey_data_type</t>
  </si>
  <si>
    <t>sat_hkey_type</t>
  </si>
  <si>
    <t>sat_hkey_data_type</t>
  </si>
  <si>
    <t>lnk_hkey_type</t>
  </si>
  <si>
    <t>lnk_hkey_data_type</t>
  </si>
  <si>
    <t>oracle</t>
  </si>
  <si>
    <t>varchar2</t>
  </si>
  <si>
    <t>number</t>
  </si>
  <si>
    <t>float</t>
  </si>
  <si>
    <t>timestamp with local time zone</t>
  </si>
  <si>
    <t>boolean</t>
  </si>
  <si>
    <t>long</t>
  </si>
  <si>
    <t>timestamp without timezone</t>
  </si>
  <si>
    <t>timestamplocaltz</t>
  </si>
  <si>
    <t>timestamp with timezone</t>
  </si>
  <si>
    <t>decimal</t>
  </si>
  <si>
    <t>struct</t>
  </si>
  <si>
    <t>list</t>
  </si>
  <si>
    <t>map</t>
  </si>
  <si>
    <t>hive</t>
  </si>
  <si>
    <t>source_system</t>
  </si>
  <si>
    <t>tinyint</t>
  </si>
  <si>
    <t>smallint</t>
  </si>
  <si>
    <t>source_system_type</t>
  </si>
  <si>
    <t>Điền các thông tin chung liên quan đến hệ thống như version, schema, source</t>
  </si>
  <si>
    <t>Khai báo các bảng nguồn cần transform dữ liệu và các bảng hub, sat tương ứng của từng bảng nguồn đó</t>
  </si>
  <si>
    <t xml:space="preserve">Khai báo chi tiết dữ liệu các cột tương ứng với các bảng nguồn trong "sources" đến cột E "biz_key_column". Các cột còn lại đã đặt công thức để lấy các giá trị cần thiết tạo file yml </t>
  </si>
  <si>
    <t>dbt_type</t>
  </si>
  <si>
    <t>Cách tạo file yml</t>
  </si>
  <si>
    <t>Xem chi tiết sheet Create yml</t>
  </si>
  <si>
    <t>Yes</t>
  </si>
  <si>
    <t>Import để tạo file yml</t>
  </si>
  <si>
    <t>Tên sheet</t>
  </si>
  <si>
    <r>
      <t xml:space="preserve">1. Option 1: nhiều source, schema nguồn
- version: lấy thông tin giá trị của </t>
    </r>
    <r>
      <rPr>
        <b/>
        <i/>
        <sz val="12"/>
        <color theme="1"/>
        <rFont val="Calibri"/>
        <family val="2"/>
      </rPr>
      <t>version</t>
    </r>
    <r>
      <rPr>
        <sz val="12"/>
        <color theme="1"/>
        <rFont val="Calibri"/>
        <family val="2"/>
      </rPr>
      <t xml:space="preserve"> trong sheet </t>
    </r>
    <r>
      <rPr>
        <i/>
        <sz val="12"/>
        <color theme="1"/>
        <rFont val="Calibri"/>
        <family val="2"/>
      </rPr>
      <t>general</t>
    </r>
    <r>
      <rPr>
        <sz val="12"/>
        <color theme="1"/>
        <rFont val="Calibri"/>
        <family val="2"/>
      </rPr>
      <t xml:space="preserve">
- sources:
      - name: lấy thông tin giá trị của </t>
    </r>
    <r>
      <rPr>
        <b/>
        <i/>
        <sz val="12"/>
        <color theme="1"/>
        <rFont val="Calibri"/>
        <family val="2"/>
      </rPr>
      <t>source_system_name</t>
    </r>
    <r>
      <rPr>
        <sz val="12"/>
        <color theme="1"/>
        <rFont val="Calibri"/>
        <family val="2"/>
      </rPr>
      <t xml:space="preserve"> trong sheet </t>
    </r>
    <r>
      <rPr>
        <b/>
        <i/>
        <sz val="12"/>
        <color theme="1"/>
        <rFont val="Calibri"/>
        <family val="2"/>
      </rPr>
      <t>sources</t>
    </r>
    <r>
      <rPr>
        <sz val="12"/>
        <color theme="1"/>
        <rFont val="Calibri"/>
        <family val="2"/>
      </rPr>
      <t xml:space="preserve">
      - schema: lấy thông tin giá trị của </t>
    </r>
    <r>
      <rPr>
        <b/>
        <i/>
        <sz val="12"/>
        <color theme="1"/>
        <rFont val="Calibri"/>
        <family val="2"/>
      </rPr>
      <t>source_schema_name</t>
    </r>
    <r>
      <rPr>
        <sz val="12"/>
        <color theme="1"/>
        <rFont val="Calibri"/>
        <family val="2"/>
      </rPr>
      <t xml:space="preserve"> trong sheet </t>
    </r>
    <r>
      <rPr>
        <b/>
        <i/>
        <sz val="12"/>
        <color theme="1"/>
        <rFont val="Calibri"/>
        <family val="2"/>
      </rPr>
      <t>sources</t>
    </r>
    <r>
      <rPr>
        <sz val="12"/>
        <color theme="1"/>
        <rFont val="Calibri"/>
        <family val="2"/>
      </rPr>
      <t xml:space="preserve">
      - tables/name: liệt kê toàn bộ giá trị của table trong sheet </t>
    </r>
    <r>
      <rPr>
        <b/>
        <i/>
        <sz val="12"/>
        <color theme="1"/>
        <rFont val="Calibri"/>
        <family val="2"/>
      </rPr>
      <t>sources</t>
    </r>
    <r>
      <rPr>
        <sz val="12"/>
        <color theme="1"/>
        <rFont val="Calibri"/>
        <family val="2"/>
      </rPr>
      <t xml:space="preserve">
- </t>
    </r>
    <r>
      <rPr>
        <b/>
        <sz val="12"/>
        <color theme="1"/>
        <rFont val="Calibri"/>
        <family val="2"/>
      </rPr>
      <t>Lưu ý</t>
    </r>
    <r>
      <rPr>
        <sz val="12"/>
        <color theme="1"/>
        <rFont val="Calibri"/>
        <family val="2"/>
      </rPr>
      <t xml:space="preserve">: order danh sách tables theo source_system_name, source_schema_name trước khi đẩy ra file yml
2. Option 2: dữ liệu đã được load về cũng 1 source, schema nguồn
- version: lấy thông tin giá trị của </t>
    </r>
    <r>
      <rPr>
        <b/>
        <i/>
        <sz val="12"/>
        <color theme="1"/>
        <rFont val="Calibri"/>
        <family val="2"/>
      </rPr>
      <t>version</t>
    </r>
    <r>
      <rPr>
        <sz val="12"/>
        <color theme="1"/>
        <rFont val="Calibri"/>
        <family val="2"/>
      </rPr>
      <t xml:space="preserve"> trong sheet </t>
    </r>
    <r>
      <rPr>
        <i/>
        <sz val="12"/>
        <color theme="1"/>
        <rFont val="Calibri"/>
        <family val="2"/>
      </rPr>
      <t>general</t>
    </r>
    <r>
      <rPr>
        <sz val="12"/>
        <color theme="1"/>
        <rFont val="Calibri"/>
        <family val="2"/>
      </rPr>
      <t xml:space="preserve">
- sources:
      - name: lấy thông tin giá trị của </t>
    </r>
    <r>
      <rPr>
        <b/>
        <i/>
        <sz val="12"/>
        <color theme="1"/>
        <rFont val="Calibri"/>
        <family val="2"/>
      </rPr>
      <t>source_system_name</t>
    </r>
    <r>
      <rPr>
        <sz val="12"/>
        <color theme="1"/>
        <rFont val="Calibri"/>
        <family val="2"/>
      </rPr>
      <t xml:space="preserve"> trong sheet </t>
    </r>
    <r>
      <rPr>
        <i/>
        <sz val="12"/>
        <color theme="1"/>
        <rFont val="Calibri"/>
        <family val="2"/>
      </rPr>
      <t>general</t>
    </r>
    <r>
      <rPr>
        <sz val="12"/>
        <color theme="1"/>
        <rFont val="Calibri"/>
        <family val="2"/>
      </rPr>
      <t xml:space="preserve">
      - schema: lấy thông tin giá trị của </t>
    </r>
    <r>
      <rPr>
        <b/>
        <i/>
        <sz val="12"/>
        <color theme="1"/>
        <rFont val="Calibri"/>
        <family val="2"/>
      </rPr>
      <t>source_schema_name</t>
    </r>
    <r>
      <rPr>
        <sz val="12"/>
        <color theme="1"/>
        <rFont val="Calibri"/>
        <family val="2"/>
      </rPr>
      <t xml:space="preserve"> trong sheet </t>
    </r>
    <r>
      <rPr>
        <i/>
        <sz val="12"/>
        <color theme="1"/>
        <rFont val="Calibri"/>
        <family val="2"/>
      </rPr>
      <t>general</t>
    </r>
    <r>
      <rPr>
        <sz val="12"/>
        <color theme="1"/>
        <rFont val="Calibri"/>
        <family val="2"/>
      </rPr>
      <t xml:space="preserve">
      - tables/name: liệt kê toàn bộ giá trị của </t>
    </r>
    <r>
      <rPr>
        <b/>
        <i/>
        <sz val="12"/>
        <color theme="1"/>
        <rFont val="Calibri"/>
        <family val="2"/>
      </rPr>
      <t xml:space="preserve">table </t>
    </r>
    <r>
      <rPr>
        <sz val="12"/>
        <color theme="1"/>
        <rFont val="Calibri"/>
        <family val="2"/>
      </rPr>
      <t xml:space="preserve">trong sheet </t>
    </r>
    <r>
      <rPr>
        <i/>
        <sz val="12"/>
        <color theme="1"/>
        <rFont val="Calibri"/>
        <family val="2"/>
      </rPr>
      <t>sources</t>
    </r>
  </si>
  <si>
    <t>CB_CIF_NO</t>
  </si>
  <si>
    <t>CB_CUS_ID</t>
  </si>
  <si>
    <t>CB_CUSTOMER_IDNO</t>
  </si>
  <si>
    <t>CB_SEX</t>
  </si>
  <si>
    <t>CB_DOB</t>
  </si>
  <si>
    <t>CB_NATIONALITY</t>
  </si>
  <si>
    <t>CB_MOBILE_NO</t>
  </si>
  <si>
    <t>CB_EMAIL</t>
  </si>
  <si>
    <t>CB_USER2_DATE_1</t>
  </si>
  <si>
    <t>CB_OCCUPN</t>
  </si>
  <si>
    <t>CB_CARDHOLDER_NAME</t>
  </si>
  <si>
    <t>CB_ID_TYPE</t>
  </si>
  <si>
    <t>CB_CREATION_DATE</t>
  </si>
  <si>
    <t>Khai báo các kiểu dữ liệu chuyển từ system hiện tại sang dbt. Kiểm tra đầy đủ các kiểu dữ liệu cần thiết để gen tự động sang kiểu dữ liệu của dbt</t>
  </si>
  <si>
    <t>CUS_CORP_CODE</t>
  </si>
  <si>
    <t>CUS_NAME</t>
  </si>
  <si>
    <t>CUS_TAX_CODE</t>
  </si>
  <si>
    <t>CUS_TAX_DATE</t>
  </si>
  <si>
    <t>CUS_CORP_ID</t>
  </si>
  <si>
    <t>CUS_CORP_DATE</t>
  </si>
  <si>
    <r>
      <t xml:space="preserve">Đã đặt công thức lấy dữ liệu, có thể điều chỉnh tay nếu cần. </t>
    </r>
    <r>
      <rPr>
        <b/>
        <sz val="12"/>
        <color theme="1"/>
        <rFont val="Calibri"/>
        <family val="2"/>
      </rPr>
      <t>Cần kiểm tra và kéo công thức từ cột F đến cột M nếu các giá trị cột A - E có nhiều hơn hiện tại (phần này chưa chỉnh được file excel tự động)</t>
    </r>
  </si>
  <si>
    <r>
      <t xml:space="preserve">Đã đặt công thức lấy dữ liệu, có thể điều chỉnh tay nếu cần. </t>
    </r>
    <r>
      <rPr>
        <b/>
        <sz val="12"/>
        <color theme="1"/>
        <rFont val="Calibri"/>
        <family val="2"/>
      </rPr>
      <t>Cần kiểm tra và kéo công thức từ cột B đến cột G nếu giá trị cột A có nhiều hơn hiện tại (phần này chưa chỉnh được file excel tự động)</t>
    </r>
  </si>
  <si>
    <t>Kiểm tra đã khai báo column (table_columns) tương ứng với danh sách table (sources)</t>
  </si>
  <si>
    <t>Tạo thử file sources.yml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</si>
</sst>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ptos Narrow"/>
      <family val="2"/>
      <scheme val="minor"/>
    </font>
    <font>
      <sz val="12"/>
      <name val="Calibri"/>
      <family val="2"/>
    </font>
    <font>
      <sz val="12"/>
      <color theme="1"/>
      <name val="Calibri"/>
      <family val="2"/>
    </font>
    <font>
      <sz val="12"/>
      <color theme="0"/>
      <name val="Calibri"/>
      <family val="2"/>
    </font>
    <font>
      <i/>
      <sz val="12"/>
      <color theme="1"/>
      <name val="Calibri"/>
      <family val="2"/>
    </font>
    <font>
      <b/>
      <sz val="12"/>
      <color theme="1"/>
      <name val="Calibri"/>
      <family val="2"/>
    </font>
    <font>
      <b/>
      <i/>
      <sz val="12"/>
      <color theme="1"/>
      <name val="Calibri"/>
      <family val="2"/>
    </font>
    <font>
      <sz val="12"/>
      <color theme="0" tint="-4.9989318521683403E-2"/>
      <name val="Calibri"/>
      <family val="2"/>
    </font>
    <font>
      <b/>
      <sz val="12"/>
      <color theme="0"/>
      <name val="Calibri"/>
      <family val="2"/>
    </font>
    <font>
      <sz val="12"/>
      <color rgb="FF000000"/>
      <name val="Calibri"/>
      <family val="2"/>
    </font>
    <font>
      <u/>
      <sz val="11"/>
      <color theme="10"/>
      <name val="Aptos Narrow"/>
      <family val="2"/>
      <scheme val="minor"/>
    </font>
  </fonts>
  <fills count="4">
    <fill>
      <patternFill patternType="none"/>
    </fill>
    <fill>
      <patternFill patternType="gray125"/>
    </fill>
    <fill>
      <patternFill patternType="solid">
        <fgColor theme="7"/>
        <bgColor indexed="64"/>
      </patternFill>
    </fill>
    <fill>
      <patternFill patternType="solid">
        <fgColor theme="7"/>
        <bgColor theme="7"/>
      </patternFill>
    </fill>
  </fills>
  <borders count="7">
    <border>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theme="7"/>
      </top>
      <bottom/>
      <diagonal/>
    </border>
    <border>
      <left/>
      <right/>
      <top style="thin">
        <color theme="7"/>
      </top>
      <bottom style="thin">
        <color theme="7"/>
      </bottom>
      <diagonal/>
    </border>
    <border>
      <left/>
      <right style="thin">
        <color theme="7"/>
      </right>
      <top style="thin">
        <color theme="7"/>
      </top>
      <bottom/>
      <diagonal/>
    </border>
    <border>
      <left/>
      <right style="thin">
        <color theme="7"/>
      </right>
      <top style="thin">
        <color theme="7"/>
      </top>
      <bottom style="thin">
        <color theme="7"/>
      </bottom>
      <diagonal/>
    </border>
  </borders>
  <cellStyleXfs count="2">
    <xf numFmtId="0" fontId="0" fillId="0" borderId="0"/>
    <xf numFmtId="0" fontId="10" fillId="0" borderId="0" applyNumberFormat="0" applyFill="0" applyBorder="0" applyAlignment="0" applyProtection="0"/>
  </cellStyleXfs>
  <cellXfs count="25">
    <xf numFmtId="0" fontId="0" fillId="0" borderId="0" xfId="0"/>
    <xf numFmtId="0" fontId="2" fillId="0" borderId="0" xfId="0" applyFont="1"/>
    <xf numFmtId="0" fontId="1" fillId="0" borderId="0" xfId="0" applyFont="1" applyAlignment="1">
      <alignment horizontal="left" vertical="center"/>
    </xf>
    <xf numFmtId="0" fontId="1" fillId="0" borderId="0" xfId="0" applyFont="1" applyAlignment="1">
      <alignment vertical="center"/>
    </xf>
    <xf numFmtId="0" fontId="3" fillId="0" borderId="0" xfId="0" applyFont="1" applyAlignment="1">
      <alignment vertical="center"/>
    </xf>
    <xf numFmtId="0" fontId="2" fillId="0" borderId="0" xfId="0" applyFont="1" applyAlignment="1">
      <alignment vertical="top" wrapText="1"/>
    </xf>
    <xf numFmtId="0" fontId="2" fillId="0" borderId="0" xfId="0" applyFont="1" applyAlignment="1">
      <alignment vertical="top"/>
    </xf>
    <xf numFmtId="0" fontId="1" fillId="0" borderId="0" xfId="0" applyFont="1"/>
    <xf numFmtId="0" fontId="1" fillId="0" borderId="0" xfId="0" applyFont="1" applyAlignment="1">
      <alignment horizontal="left"/>
    </xf>
    <xf numFmtId="0" fontId="7" fillId="0" borderId="0" xfId="0" applyFont="1" applyAlignment="1">
      <alignment vertical="center"/>
    </xf>
    <xf numFmtId="0" fontId="7" fillId="0" borderId="0" xfId="0" applyFont="1"/>
    <xf numFmtId="0" fontId="8" fillId="2" borderId="0" xfId="0" applyFont="1" applyFill="1"/>
    <xf numFmtId="0" fontId="9" fillId="0" borderId="0" xfId="0" applyFont="1"/>
    <xf numFmtId="0" fontId="5" fillId="2" borderId="2" xfId="0" applyFont="1" applyFill="1" applyBorder="1"/>
    <xf numFmtId="0" fontId="5" fillId="2" borderId="0" xfId="0" applyFont="1" applyFill="1"/>
    <xf numFmtId="0" fontId="2" fillId="0" borderId="0" xfId="0" quotePrefix="1" applyFont="1" applyAlignment="1">
      <alignment vertical="top" wrapText="1"/>
    </xf>
    <xf numFmtId="0" fontId="5" fillId="2" borderId="1" xfId="0" applyFont="1" applyFill="1" applyBorder="1"/>
    <xf numFmtId="0" fontId="2" fillId="0" borderId="0" xfId="0" applyFont="1" applyAlignment="1">
      <alignment horizontal="left" vertical="center"/>
    </xf>
    <xf numFmtId="0" fontId="10" fillId="0" borderId="0" xfId="1" applyAlignment="1">
      <alignment vertical="top" wrapText="1"/>
    </xf>
    <xf numFmtId="0" fontId="8" fillId="3" borderId="3" xfId="0" applyFont="1" applyFill="1" applyBorder="1"/>
    <xf numFmtId="0" fontId="8" fillId="3" borderId="5" xfId="0" applyFont="1" applyFill="1" applyBorder="1"/>
    <xf numFmtId="0" fontId="1" fillId="0" borderId="3" xfId="0" applyFont="1" applyBorder="1"/>
    <xf numFmtId="0" fontId="1" fillId="0" borderId="5" xfId="0" applyFont="1" applyBorder="1"/>
    <xf numFmtId="0" fontId="1" fillId="0" borderId="4" xfId="0" applyFont="1" applyBorder="1"/>
    <xf numFmtId="0" fontId="1" fillId="0" borderId="6" xfId="0" applyFont="1" applyBorder="1"/>
  </cellXfs>
  <cellStyles count="2">
    <cellStyle name="Hyperlink" xfId="1" builtinId="8"/>
    <cellStyle name="Normal" xfId="0" builtinId="0"/>
  </cellStyles>
  <dxfs count="55">
    <dxf>
      <font>
        <strike val="0"/>
        <outline val="0"/>
        <shadow val="0"/>
        <u val="none"/>
        <vertAlign val="baseline"/>
        <sz val="12"/>
        <name val="Calibri"/>
        <family val="2"/>
        <scheme val="none"/>
      </font>
    </dxf>
    <dxf>
      <font>
        <strike val="0"/>
        <outline val="0"/>
        <shadow val="0"/>
        <u val="none"/>
        <vertAlign val="baseline"/>
        <sz val="12"/>
        <name val="Calibri"/>
        <family val="2"/>
        <scheme val="none"/>
      </font>
    </dxf>
    <dxf>
      <font>
        <b val="0"/>
        <i val="0"/>
        <strike val="0"/>
        <condense val="0"/>
        <extend val="0"/>
        <outline val="0"/>
        <shadow val="0"/>
        <u val="none"/>
        <vertAlign val="baseline"/>
        <sz val="12"/>
        <color theme="1"/>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none"/>
      </font>
      <alignment horizontal="left" vertical="center" textRotation="0" wrapText="0" indent="0" justifyLastLine="0" shrinkToFit="0" readingOrder="0"/>
    </dxf>
    <dxf>
      <font>
        <strike val="0"/>
        <outline val="0"/>
        <shadow val="0"/>
        <u val="none"/>
        <vertAlign val="baseline"/>
        <sz val="12"/>
        <name val="Calibri"/>
        <family val="2"/>
        <scheme val="none"/>
      </font>
    </dxf>
    <dxf>
      <font>
        <b val="0"/>
        <i val="0"/>
        <strike val="0"/>
        <condense val="0"/>
        <extend val="0"/>
        <outline val="0"/>
        <shadow val="0"/>
        <u val="none"/>
        <vertAlign val="baseline"/>
        <sz val="12"/>
        <color rgb="FF000000"/>
        <name val="Calibri"/>
        <family val="2"/>
        <scheme val="none"/>
      </font>
      <numFmt numFmtId="0" formatCode="General"/>
    </dxf>
    <dxf>
      <font>
        <b val="0"/>
        <i val="0"/>
        <strike val="0"/>
        <condense val="0"/>
        <extend val="0"/>
        <outline val="0"/>
        <shadow val="0"/>
        <u val="none"/>
        <vertAlign val="baseline"/>
        <sz val="12"/>
        <color theme="1"/>
        <name val="Calibri"/>
        <family val="2"/>
        <scheme val="none"/>
      </font>
      <numFmt numFmtId="0" formatCode="General"/>
    </dxf>
    <dxf>
      <font>
        <b val="0"/>
        <i val="0"/>
        <strike val="0"/>
        <condense val="0"/>
        <extend val="0"/>
        <outline val="0"/>
        <shadow val="0"/>
        <u val="none"/>
        <vertAlign val="baseline"/>
        <sz val="12"/>
        <color theme="1"/>
        <name val="Calibri"/>
        <family val="2"/>
        <scheme val="none"/>
      </font>
      <numFmt numFmtId="0" formatCode="General"/>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rgb="FF000000"/>
        <name val="Calibri"/>
        <family val="2"/>
        <scheme val="none"/>
      </font>
    </dxf>
    <dxf>
      <font>
        <b/>
        <i val="0"/>
        <strike val="0"/>
        <condense val="0"/>
        <extend val="0"/>
        <outline val="0"/>
        <shadow val="0"/>
        <u val="none"/>
        <vertAlign val="baseline"/>
        <sz val="12"/>
        <color theme="0"/>
        <name val="Calibri"/>
        <family val="2"/>
        <scheme val="none"/>
      </font>
      <fill>
        <patternFill patternType="solid">
          <fgColor indexed="64"/>
          <bgColor theme="7"/>
        </patternFill>
      </fill>
      <border diagonalUp="0" diagonalDown="0" outline="0">
        <left style="thin">
          <color indexed="64"/>
        </left>
        <right style="thin">
          <color indexed="64"/>
        </right>
        <top/>
        <bottom/>
      </border>
    </dxf>
    <dxf>
      <numFmt numFmtId="0" formatCode="General"/>
    </dxf>
    <dxf>
      <numFmt numFmtId="0" formatCode="General"/>
    </dxf>
    <dxf>
      <numFmt numFmtId="0" formatCode="General"/>
    </dxf>
    <dxf>
      <font>
        <b val="0"/>
        <i val="0"/>
        <strike val="0"/>
        <condense val="0"/>
        <extend val="0"/>
        <outline val="0"/>
        <shadow val="0"/>
        <u val="none"/>
        <vertAlign val="baseline"/>
        <sz val="12"/>
        <color auto="1"/>
        <name val="Calibri"/>
        <family val="2"/>
        <scheme val="none"/>
      </font>
      <fill>
        <patternFill patternType="none">
          <fgColor indexed="64"/>
          <bgColor indexed="65"/>
        </patternFill>
      </fill>
    </dxf>
    <dxf>
      <font>
        <b val="0"/>
        <i val="0"/>
        <strike val="0"/>
        <condense val="0"/>
        <extend val="0"/>
        <outline val="0"/>
        <shadow val="0"/>
        <u val="none"/>
        <vertAlign val="baseline"/>
        <sz val="12"/>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indexed="65"/>
        </patternFill>
      </fill>
    </dxf>
    <dxf>
      <font>
        <b val="0"/>
        <i val="0"/>
        <strike val="0"/>
        <condense val="0"/>
        <extend val="0"/>
        <outline val="0"/>
        <shadow val="0"/>
        <u val="none"/>
        <vertAlign val="baseline"/>
        <sz val="12"/>
        <color theme="0" tint="-4.9989318521683403E-2"/>
        <name val="Calibri"/>
        <family val="2"/>
        <scheme val="none"/>
      </font>
      <fill>
        <patternFill patternType="none">
          <fgColor indexed="64"/>
          <bgColor indexed="65"/>
        </patternFill>
      </fill>
    </dxf>
    <dxf>
      <font>
        <b val="0"/>
        <i val="0"/>
        <strike val="0"/>
        <condense val="0"/>
        <extend val="0"/>
        <outline val="0"/>
        <shadow val="0"/>
        <u val="none"/>
        <vertAlign val="baseline"/>
        <sz val="12"/>
        <color auto="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Calibri"/>
        <family val="2"/>
        <scheme val="none"/>
      </font>
      <alignment horizontal="general" vertical="center" textRotation="0" wrapText="0" indent="0" justifyLastLine="0" shrinkToFit="0" readingOrder="0"/>
    </dxf>
    <dxf>
      <font>
        <strike val="0"/>
        <outline val="0"/>
        <shadow val="0"/>
        <u val="none"/>
        <vertAlign val="baseline"/>
        <sz val="12"/>
        <name val="Calibri"/>
        <family val="2"/>
        <scheme val="none"/>
      </font>
    </dxf>
    <dxf>
      <font>
        <b val="0"/>
        <i val="0"/>
        <strike val="0"/>
        <condense val="0"/>
        <extend val="0"/>
        <outline val="0"/>
        <shadow val="0"/>
        <u val="none"/>
        <vertAlign val="baseline"/>
        <sz val="12"/>
        <color auto="1"/>
        <name val="Calibri"/>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2"/>
        <color auto="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Calibri"/>
        <family val="2"/>
        <scheme val="none"/>
      </font>
      <alignment horizontal="general" vertical="center" textRotation="0" wrapText="0" indent="0" justifyLastLine="0" shrinkToFit="0" readingOrder="0"/>
    </dxf>
    <dxf>
      <font>
        <strike val="0"/>
        <outline val="0"/>
        <shadow val="0"/>
        <u val="none"/>
        <vertAlign val="baseline"/>
        <sz val="12"/>
        <name val="Calibri"/>
        <family val="2"/>
        <scheme val="none"/>
      </font>
    </dxf>
    <dxf>
      <font>
        <strike val="0"/>
        <outline val="0"/>
        <shadow val="0"/>
        <u val="none"/>
        <vertAlign val="baseline"/>
        <sz val="12"/>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horizontal="general" vertical="top" textRotation="0" wrapText="1" indent="0" justifyLastLine="0" shrinkToFit="0" readingOrder="0"/>
      <border diagonalUp="0" diagonalDown="0" outline="0">
        <left/>
        <right/>
        <top/>
        <bottom/>
      </border>
    </dxf>
    <dxf>
      <font>
        <b val="0"/>
        <i val="0"/>
        <strike val="0"/>
        <condense val="0"/>
        <extend val="0"/>
        <outline val="0"/>
        <shadow val="0"/>
        <u val="none"/>
        <vertAlign val="baseline"/>
        <sz val="12"/>
        <color theme="1"/>
        <name val="Calibri"/>
        <family val="2"/>
        <scheme val="none"/>
      </font>
      <alignment horizontal="general" vertical="top" textRotation="0" wrapText="1" indent="0" justifyLastLine="0" shrinkToFit="0" readingOrder="0"/>
    </dxf>
    <dxf>
      <font>
        <b val="0"/>
        <i val="0"/>
        <strike val="0"/>
        <condense val="0"/>
        <extend val="0"/>
        <outline val="0"/>
        <shadow val="0"/>
        <u val="none"/>
        <vertAlign val="baseline"/>
        <sz val="12"/>
        <color theme="1"/>
        <name val="Calibri"/>
        <family val="2"/>
        <scheme val="none"/>
      </font>
      <alignment horizontal="general" vertical="top" textRotation="0" wrapText="1" indent="0" justifyLastLine="0" shrinkToFit="0" readingOrder="0"/>
      <border diagonalUp="0" diagonalDown="0" outline="0">
        <left/>
        <right/>
        <top/>
        <bottom/>
      </border>
    </dxf>
    <dxf>
      <font>
        <b val="0"/>
        <i val="0"/>
        <strike val="0"/>
        <condense val="0"/>
        <extend val="0"/>
        <outline val="0"/>
        <shadow val="0"/>
        <u val="none"/>
        <vertAlign val="baseline"/>
        <sz val="12"/>
        <color theme="1"/>
        <name val="Calibri"/>
        <family val="2"/>
        <scheme val="none"/>
      </font>
      <alignment horizontal="general" vertical="top" textRotation="0" wrapText="1" indent="0" justifyLastLine="0" shrinkToFit="0" readingOrder="0"/>
    </dxf>
    <dxf>
      <font>
        <b val="0"/>
        <i val="0"/>
        <strike val="0"/>
        <condense val="0"/>
        <extend val="0"/>
        <outline val="0"/>
        <shadow val="0"/>
        <u val="none"/>
        <vertAlign val="baseline"/>
        <sz val="12"/>
        <color theme="1"/>
        <name val="Calibri"/>
        <family val="2"/>
        <scheme val="none"/>
      </font>
      <alignment horizontal="general" vertical="top" textRotation="0" wrapText="1" indent="0" justifyLastLine="0" shrinkToFit="0" readingOrder="0"/>
      <border diagonalUp="0" diagonalDown="0" outline="0">
        <left/>
        <right/>
        <top/>
        <bottom/>
      </border>
    </dxf>
    <dxf>
      <font>
        <b val="0"/>
        <i val="0"/>
        <strike val="0"/>
        <condense val="0"/>
        <extend val="0"/>
        <outline val="0"/>
        <shadow val="0"/>
        <u val="none"/>
        <vertAlign val="baseline"/>
        <sz val="12"/>
        <color theme="1"/>
        <name val="Calibri"/>
        <family val="2"/>
        <scheme val="none"/>
      </font>
      <alignment horizontal="general" vertical="top" textRotation="0" wrapText="1" indent="0" justifyLastLine="0" shrinkToFit="0" readingOrder="0"/>
    </dxf>
    <dxf>
      <font>
        <b val="0"/>
        <i val="0"/>
        <strike val="0"/>
        <condense val="0"/>
        <extend val="0"/>
        <outline val="0"/>
        <shadow val="0"/>
        <u val="none"/>
        <vertAlign val="baseline"/>
        <sz val="12"/>
        <color theme="1"/>
        <name val="Calibri"/>
        <family val="2"/>
        <scheme val="none"/>
      </font>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theme="1"/>
        <name val="Calibri"/>
        <family val="2"/>
        <scheme val="none"/>
      </font>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theme="1"/>
        <name val="Calibri"/>
        <family val="2"/>
        <scheme val="none"/>
      </font>
      <alignment horizontal="general" vertical="top" textRotation="0" wrapText="1" indent="0" justifyLastLine="0" shrinkToFit="0" readingOrder="0"/>
    </dxf>
    <dxf>
      <font>
        <b val="0"/>
        <i val="0"/>
        <strike val="0"/>
        <condense val="0"/>
        <extend val="0"/>
        <outline val="0"/>
        <shadow val="0"/>
        <u val="none"/>
        <vertAlign val="baseline"/>
        <sz val="12"/>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alignment horizontal="general" vertical="top" textRotation="0" wrapText="1"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4815840</xdr:colOff>
          <xdr:row>9</xdr:row>
          <xdr:rowOff>182880</xdr:rowOff>
        </xdr:from>
        <xdr:to>
          <xdr:col>2</xdr:col>
          <xdr:colOff>6576060</xdr:colOff>
          <xdr:row>11</xdr:row>
          <xdr:rowOff>38100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Check fill in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4823460</xdr:colOff>
          <xdr:row>12</xdr:row>
          <xdr:rowOff>7620</xdr:rowOff>
        </xdr:from>
        <xdr:to>
          <xdr:col>2</xdr:col>
          <xdr:colOff>6583680</xdr:colOff>
          <xdr:row>13</xdr:row>
          <xdr:rowOff>60960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55E2C5D0-6FBC-E8ED-884A-64C3558077D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source.yml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4A3FC75-2FD2-432C-B454-4D444BEAFA1D}" name="Table8" displayName="Table8" ref="A1:D7" totalsRowShown="0" headerRowDxfId="54" dataDxfId="53">
  <autoFilter ref="A1:D7" xr:uid="{E4A3FC75-2FD2-432C-B454-4D444BEAFA1D}"/>
  <tableColumns count="4">
    <tableColumn id="1" xr3:uid="{D9C8AE1C-703A-4354-8F56-9B008359CDBD}" name="STT" dataDxfId="52"/>
    <tableColumn id="2" xr3:uid="{CFAD6532-3A36-4EA3-9849-97D4BBDE3185}" name="Tên sheet" dataDxfId="51"/>
    <tableColumn id="3" xr3:uid="{C8037C8B-60C7-4AD7-B763-9CC34F15ABF6}" name="Nội dung" dataDxfId="50"/>
    <tableColumn id="4" xr3:uid="{AF1BA6AA-075A-4466-814A-AB6E26276B44}" name="Import để tạo file yml" dataDxfId="49"/>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57134C-F4F9-4B84-A752-EB7EBED4B6BD}" name="Table4" displayName="Table4" ref="A1:E8" totalsRowShown="0" headerRowDxfId="48" dataDxfId="47">
  <autoFilter ref="A1:E8" xr:uid="{5257134C-F4F9-4B84-A752-EB7EBED4B6BD}"/>
  <tableColumns count="5">
    <tableColumn id="1" xr3:uid="{A0E2FFE3-C970-462F-BC8B-1FE8062646BD}" name="STT" dataDxfId="46" totalsRowDxfId="45"/>
    <tableColumn id="2" xr3:uid="{90F01135-87D8-4685-9853-E3B274B2B861}" name="Nội dung" dataDxfId="44" totalsRowDxfId="43"/>
    <tableColumn id="3" xr3:uid="{A470E4DB-4A55-42BC-A65A-027D1CC008E3}" name="Template yml" dataDxfId="42" totalsRowDxfId="41"/>
    <tableColumn id="4" xr3:uid="{D23A6AFA-F032-4475-A328-FEA42B184101}" name="Sheet lấy thông tin" dataDxfId="40" totalsRowDxfId="39"/>
    <tableColumn id="5" xr3:uid="{1094AA9A-9E40-46D9-8A70-17E16ABEF1DA}" name="Chi tiết mô tả" dataDxfId="38" totalsRowDxfId="37"/>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F2C21E-E94A-492F-BE9A-F9CC716D9FB3}" name="general" displayName="general" ref="A1:B17" totalsRowShown="0" headerRowDxfId="36" dataDxfId="35">
  <autoFilter ref="A1:B17" xr:uid="{92F2C21E-E94A-492F-BE9A-F9CC716D9FB3}"/>
  <tableColumns count="2">
    <tableColumn id="1" xr3:uid="{496F051C-1526-4C09-B4EE-C10AE6C893D5}" name="attr_name" dataDxfId="34"/>
    <tableColumn id="2" xr3:uid="{875EAA73-A5B3-4A85-92CF-EB2ADC9D53B0}" name="attr_value" dataDxfId="33"/>
  </tableColumns>
  <tableStyleInfo name="TableStyleLight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C894B5-4820-4374-AC93-1A0C5351D93E}" name="sources" displayName="sources" ref="A1:J7" totalsRowShown="0" headerRowDxfId="32" dataDxfId="31">
  <autoFilter ref="A1:J7" xr:uid="{E8C894B5-4820-4374-AC93-1A0C5351D93E}"/>
  <tableColumns count="10">
    <tableColumn id="3" xr3:uid="{D9055D29-CD73-4592-B50F-9BF4ED066FE0}" name="table_name" dataDxfId="30"/>
    <tableColumn id="2" xr3:uid="{178C43FF-E622-4FFC-819A-D0B4DA65CC92}" name="source_system_name" dataDxfId="29"/>
    <tableColumn id="1" xr3:uid="{F4C7724D-C3AB-4928-BA6C-ABCDD395BD76}" name="source_schema_name" dataDxfId="28"/>
    <tableColumn id="4" xr3:uid="{0A76C9C4-7A5F-429A-B54E-88921F908C23}" name="source_system_ccd" dataDxfId="27"/>
    <tableColumn id="5" xr3:uid="{85F47796-CE68-45D9-BA56-FE45DD44872B}" name="description" dataDxfId="26"/>
    <tableColumn id="6" xr3:uid="{CDAA5CF2-2140-45C6-BB93-B478FC65A969}" name="hub_parent_table" dataDxfId="25"/>
    <tableColumn id="7" xr3:uid="{EAE5CC24-1642-420D-B04F-7D1D392DE777}" name="hub_target_entity_type" dataDxfId="24"/>
    <tableColumn id="9" xr3:uid="{129B4164-08B2-45D9-9C4C-7A578007413F}" name="hub_target_table" dataDxfId="23"/>
    <tableColumn id="11" xr3:uid="{9F68D75D-FCEE-4A0A-8A1E-B9DEE92F2318}" name="sat_target_entity_type" dataDxfId="22"/>
    <tableColumn id="13" xr3:uid="{73DF2E03-5AD4-45B3-813A-179144128B18}" name="sat_target_table" dataDxfId="21"/>
  </tableColumns>
  <tableStyleInfo name="TableStyleLight1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8AA5ED9-AD6F-471C-9611-DDE62F1F75E8}" name="table_columns" displayName="table_columns" ref="A1:H40" totalsRowShown="0" headerRowDxfId="20">
  <autoFilter ref="A1:H40" xr:uid="{48AA5ED9-AD6F-471C-9611-DDE62F1F75E8}"/>
  <tableColumns count="8">
    <tableColumn id="1" xr3:uid="{BF660A36-672F-4C30-ADB7-F75D98B31920}" name="source_table_name" dataDxfId="19"/>
    <tableColumn id="2" xr3:uid="{2A185B74-A298-4106-AB2A-D4F5E1177A47}" name="source_column_name" dataDxfId="18"/>
    <tableColumn id="3" xr3:uid="{1FBF7E6F-8C4A-45DF-B9A9-88A1C2C3394C}" name="source_data_type" dataDxfId="17"/>
    <tableColumn id="4" xr3:uid="{602D11FB-6EA7-43DC-9942-6E005AA06F4E}" name="index_key" dataDxfId="16"/>
    <tableColumn id="5" xr3:uid="{506EA289-2A8A-4785-9A55-A5D85F099563}" name="biz_key_column"/>
    <tableColumn id="6" xr3:uid="{C77F3844-1657-4450-95AD-EA6DE0AFBFC3}" name="sat_target_column" dataDxfId="15">
      <calculatedColumnFormula>table_columns[[#This Row],[source_column_name]]</calculatedColumnFormula>
    </tableColumn>
    <tableColumn id="7" xr3:uid="{A720CF5F-D72B-48D7-9AA0-7E66A53C8D32}" name="sat_target_data_type" dataDxfId="14">
      <calculatedColumnFormula>IF(ISBLANK(table_columns[[#This Row],[sat_target_column]]),"",VLOOKUP(CONCATENATE(VLOOKUP("source_system",general[#All],2,0),table_columns[[#This Row],[source_data_type]]),reference[#All],4,0))</calculatedColumnFormula>
    </tableColumn>
    <tableColumn id="8" xr3:uid="{5E14A598-E70F-43BE-8A61-4BFB027C1651}" name="sat_target_table" dataDxfId="13">
      <calculatedColumnFormula>VLOOKUP(table_columns[[#This Row],[source_table_name]],sources[#All],10,0)</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1AB6FE-A63B-43E3-A11A-85D6A3620D4C}" name="Table107" displayName="Table107" ref="B1:G18" totalsRowShown="0" headerRowDxfId="12" dataDxfId="11">
  <autoFilter ref="B1:G18" xr:uid="{0FC4E599-3DEF-4025-9F86-61A8621B4739}"/>
  <tableColumns count="6">
    <tableColumn id="4" xr3:uid="{B1B39985-4DE8-41FE-BE43-6799B11BC570}" name="sat_hkey_type" dataDxfId="10">
      <calculatedColumnFormula>IF(ISBLANK(A2),"",VLOOKUP($B$1,general[#All],2,0))</calculatedColumnFormula>
    </tableColumn>
    <tableColumn id="5" xr3:uid="{53EC2B0A-056E-4083-8042-43A5545DE4B8}" name="sat_hkey_data_type" dataDxfId="9">
      <calculatedColumnFormula>IF(ISBLANK(A2),"",VLOOKUP($C$1,general[#All],2,0))</calculatedColumnFormula>
    </tableColumn>
    <tableColumn id="6" xr3:uid="{0948CF14-120F-4C08-8F3C-7BD0E6515DF0}" name="sat_target_column" dataDxfId="8">
      <calculatedColumnFormula>IF(ISBLANK(A2),"",CONCATENATE("dv_hkey_",LOWER(A2)))</calculatedColumnFormula>
    </tableColumn>
    <tableColumn id="7" xr3:uid="{95C73115-DBF0-47DF-8388-D6F1841097AE}" name="hash_diff_key_type" dataDxfId="7">
      <calculatedColumnFormula>IF(ISBLANK(A2),"",VLOOKUP($E$1,general[#All],2,0))</calculatedColumnFormula>
    </tableColumn>
    <tableColumn id="8" xr3:uid="{42D02DE4-191E-4D35-A904-29E8003F29AB}" name="hash_diff_key_data_type" dataDxfId="6">
      <calculatedColumnFormula>IF(ISBLANK(A2),"",VLOOKUP($F$1,general[#All],2,0))</calculatedColumnFormula>
    </tableColumn>
    <tableColumn id="9" xr3:uid="{F8859638-BCA0-4A9A-9095-8165EC27EDDE}" name="hash_diff_target" dataDxfId="5">
      <calculatedColumnFormula>IF(ISBLANK(A2),"",VLOOKUP($G$1,general[#All],2,0))</calculatedColumnFormula>
    </tableColumn>
  </tableColumns>
  <tableStyleInfo name="TableStyleLight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070D5F1-7788-4F12-834D-2F2C142A44A8}" name="reference" displayName="reference" ref="A1:D27" totalsRowShown="0" dataDxfId="4">
  <autoFilter ref="A1:D27" xr:uid="{2070D5F1-7788-4F12-834D-2F2C142A44A8}"/>
  <tableColumns count="4">
    <tableColumn id="1" xr3:uid="{17CB1DF5-274A-4D1C-B26E-C8846AB18505}" name="source_system_type" dataDxfId="3">
      <calculatedColumnFormula>CONCATENATE(reference[[#This Row],[source_system]],reference[[#This Row],[source_type]])</calculatedColumnFormula>
    </tableColumn>
    <tableColumn id="4" xr3:uid="{3AEE3642-9799-4A12-A9E1-AADC214C29DB}" name="source_system" dataDxfId="2"/>
    <tableColumn id="3" xr3:uid="{C7825A44-D340-4E79-A1D9-AAB3BDF109D9}" name="source_type" dataDxfId="1"/>
    <tableColumn id="2" xr3:uid="{BE884079-8F23-42AA-B0EA-24E050CF9DA3}" name="dtype"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AD9CD-359F-4E1B-A0E0-C5AEB822AAA3}">
  <sheetPr codeName="Sheet1"/>
  <dimension ref="A1:D13"/>
  <sheetViews>
    <sheetView tabSelected="1" workbookViewId="0">
      <selection activeCell="C15" sqref="C15"/>
    </sheetView>
  </sheetViews>
  <sheetFormatPr defaultRowHeight="15.6" x14ac:dyDescent="0.3"/>
  <cols>
    <col min="1" max="1" width="8.88671875" style="1"/>
    <col min="2" max="2" width="14.77734375" style="1" bestFit="1" customWidth="1"/>
    <col min="3" max="3" width="110" style="5" customWidth="1"/>
    <col min="4" max="4" width="23.109375" style="1" customWidth="1"/>
    <col min="5" max="16384" width="8.88671875" style="1"/>
  </cols>
  <sheetData>
    <row r="1" spans="1:4" x14ac:dyDescent="0.3">
      <c r="A1" s="1" t="s">
        <v>53</v>
      </c>
      <c r="B1" s="1" t="s">
        <v>150</v>
      </c>
      <c r="C1" s="5" t="s">
        <v>54</v>
      </c>
      <c r="D1" s="1" t="s">
        <v>149</v>
      </c>
    </row>
    <row r="2" spans="1:4" x14ac:dyDescent="0.3">
      <c r="A2" s="1">
        <v>1</v>
      </c>
      <c r="B2" s="1" t="s">
        <v>75</v>
      </c>
      <c r="C2" s="5" t="s">
        <v>142</v>
      </c>
      <c r="D2" s="1" t="s">
        <v>148</v>
      </c>
    </row>
    <row r="3" spans="1:4" x14ac:dyDescent="0.3">
      <c r="A3" s="1">
        <v>2</v>
      </c>
      <c r="B3" s="1" t="s">
        <v>71</v>
      </c>
      <c r="C3" s="5" t="s">
        <v>143</v>
      </c>
      <c r="D3" s="1" t="s">
        <v>148</v>
      </c>
    </row>
    <row r="4" spans="1:4" ht="31.2" x14ac:dyDescent="0.3">
      <c r="A4" s="1">
        <v>3</v>
      </c>
      <c r="B4" s="1" t="s">
        <v>108</v>
      </c>
      <c r="C4" s="5" t="s">
        <v>144</v>
      </c>
      <c r="D4" s="1" t="s">
        <v>148</v>
      </c>
    </row>
    <row r="5" spans="1:4" ht="31.2" x14ac:dyDescent="0.3">
      <c r="A5" s="1">
        <v>4</v>
      </c>
      <c r="B5" s="1" t="s">
        <v>145</v>
      </c>
      <c r="C5" s="5" t="s">
        <v>165</v>
      </c>
    </row>
    <row r="6" spans="1:4" ht="31.2" x14ac:dyDescent="0.3">
      <c r="A6" s="1">
        <v>5</v>
      </c>
      <c r="B6" s="1" t="s">
        <v>94</v>
      </c>
      <c r="C6" s="5" t="s">
        <v>172</v>
      </c>
      <c r="D6" s="1" t="s">
        <v>148</v>
      </c>
    </row>
    <row r="7" spans="1:4" ht="31.2" x14ac:dyDescent="0.3">
      <c r="A7" s="1">
        <v>6</v>
      </c>
      <c r="B7" s="1" t="s">
        <v>100</v>
      </c>
      <c r="C7" s="5" t="s">
        <v>173</v>
      </c>
      <c r="D7" s="1" t="s">
        <v>148</v>
      </c>
    </row>
    <row r="9" spans="1:4" x14ac:dyDescent="0.3">
      <c r="A9" s="1" t="s">
        <v>146</v>
      </c>
      <c r="C9" s="18" t="s">
        <v>147</v>
      </c>
    </row>
    <row r="11" spans="1:4" x14ac:dyDescent="0.3">
      <c r="A11" s="1" t="s">
        <v>174</v>
      </c>
    </row>
    <row r="13" spans="1:4" x14ac:dyDescent="0.3">
      <c r="A13" s="1" t="s">
        <v>175</v>
      </c>
    </row>
  </sheetData>
  <hyperlinks>
    <hyperlink ref="C9" location="'Create yml'!A1" display="Xem chi tiết sheet Create yml" xr:uid="{2237FEF4-01B1-4CE9-88B0-1C95F9C08C9B}"/>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heckSatDetails">
                <anchor moveWithCells="1" sizeWithCells="1">
                  <from>
                    <xdr:col>2</xdr:col>
                    <xdr:colOff>4815840</xdr:colOff>
                    <xdr:row>9</xdr:row>
                    <xdr:rowOff>182880</xdr:rowOff>
                  </from>
                  <to>
                    <xdr:col>2</xdr:col>
                    <xdr:colOff>6576060</xdr:colOff>
                    <xdr:row>11</xdr:row>
                    <xdr:rowOff>38100</xdr:rowOff>
                  </to>
                </anchor>
              </controlPr>
            </control>
          </mc:Choice>
        </mc:AlternateContent>
        <mc:AlternateContent xmlns:mc="http://schemas.openxmlformats.org/markup-compatibility/2006">
          <mc:Choice Requires="x14">
            <control shapeId="2050" r:id="rId4" name="Button 2">
              <controlPr defaultSize="0" print="0" autoFill="0" autoPict="0" macro="[0]!ExportToYAML">
                <anchor moveWithCells="1" sizeWithCells="1">
                  <from>
                    <xdr:col>2</xdr:col>
                    <xdr:colOff>4823460</xdr:colOff>
                    <xdr:row>12</xdr:row>
                    <xdr:rowOff>7620</xdr:rowOff>
                  </from>
                  <to>
                    <xdr:col>2</xdr:col>
                    <xdr:colOff>6583680</xdr:colOff>
                    <xdr:row>13</xdr:row>
                    <xdr:rowOff>60960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2A785-7105-4087-911A-DC9CBB379104}">
  <sheetPr codeName="Sheet2"/>
  <dimension ref="A1:E8"/>
  <sheetViews>
    <sheetView workbookViewId="0">
      <selection activeCell="D2" sqref="D2"/>
    </sheetView>
  </sheetViews>
  <sheetFormatPr defaultRowHeight="15.6" x14ac:dyDescent="0.3"/>
  <cols>
    <col min="1" max="1" width="8.88671875" style="6"/>
    <col min="2" max="2" width="31.33203125" style="6" customWidth="1"/>
    <col min="3" max="3" width="35" style="6" customWidth="1"/>
    <col min="4" max="4" width="31.33203125" style="6" bestFit="1" customWidth="1"/>
    <col min="5" max="5" width="92.77734375" style="6" customWidth="1"/>
    <col min="6" max="16384" width="8.88671875" style="6"/>
  </cols>
  <sheetData>
    <row r="1" spans="1:5" x14ac:dyDescent="0.3">
      <c r="A1" s="6" t="s">
        <v>53</v>
      </c>
      <c r="B1" s="6" t="s">
        <v>54</v>
      </c>
      <c r="C1" s="6" t="s">
        <v>76</v>
      </c>
      <c r="D1" s="6" t="s">
        <v>70</v>
      </c>
      <c r="E1" s="6" t="s">
        <v>55</v>
      </c>
    </row>
    <row r="2" spans="1:5" s="5" customFormat="1" ht="234" x14ac:dyDescent="0.3">
      <c r="A2" s="5">
        <v>1</v>
      </c>
      <c r="B2" s="5" t="s">
        <v>50</v>
      </c>
      <c r="C2" s="5" t="s">
        <v>51</v>
      </c>
      <c r="D2" s="5" t="s">
        <v>77</v>
      </c>
      <c r="E2" s="15" t="s">
        <v>151</v>
      </c>
    </row>
    <row r="3" spans="1:5" ht="156" x14ac:dyDescent="0.3">
      <c r="A3" s="6">
        <v>2</v>
      </c>
      <c r="B3" s="5" t="s">
        <v>78</v>
      </c>
      <c r="C3" s="5" t="s">
        <v>79</v>
      </c>
      <c r="D3" s="5" t="s">
        <v>92</v>
      </c>
      <c r="E3" s="15" t="s">
        <v>109</v>
      </c>
    </row>
    <row r="4" spans="1:5" ht="124.8" x14ac:dyDescent="0.3">
      <c r="C4" s="5" t="s">
        <v>91</v>
      </c>
      <c r="D4" s="5" t="s">
        <v>94</v>
      </c>
      <c r="E4" s="5" t="s">
        <v>110</v>
      </c>
    </row>
    <row r="5" spans="1:5" ht="124.8" x14ac:dyDescent="0.3">
      <c r="C5" s="5" t="s">
        <v>95</v>
      </c>
      <c r="D5" s="5" t="s">
        <v>94</v>
      </c>
      <c r="E5" s="5" t="s">
        <v>111</v>
      </c>
    </row>
    <row r="6" spans="1:5" ht="171.6" x14ac:dyDescent="0.3">
      <c r="A6" s="6">
        <v>3</v>
      </c>
      <c r="B6" s="6" t="s">
        <v>80</v>
      </c>
      <c r="C6" s="5" t="s">
        <v>81</v>
      </c>
      <c r="D6" s="5" t="s">
        <v>92</v>
      </c>
      <c r="E6" s="15" t="s">
        <v>112</v>
      </c>
    </row>
    <row r="7" spans="1:5" ht="280.8" x14ac:dyDescent="0.3">
      <c r="C7" s="5" t="s">
        <v>96</v>
      </c>
      <c r="D7" s="5" t="s">
        <v>100</v>
      </c>
      <c r="E7" s="5" t="s">
        <v>113</v>
      </c>
    </row>
    <row r="8" spans="1:5" ht="296.39999999999998" x14ac:dyDescent="0.3">
      <c r="C8" s="5" t="s">
        <v>97</v>
      </c>
      <c r="D8" s="5" t="s">
        <v>107</v>
      </c>
      <c r="E8" s="5" t="s">
        <v>114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C2A0-9564-4C31-9628-BD30D9559291}">
  <sheetPr codeName="Sheet3"/>
  <dimension ref="A1:B17"/>
  <sheetViews>
    <sheetView workbookViewId="0">
      <selection activeCell="B1" sqref="B1"/>
    </sheetView>
  </sheetViews>
  <sheetFormatPr defaultRowHeight="14.4" x14ac:dyDescent="0.3"/>
  <cols>
    <col min="1" max="1" width="23" customWidth="1"/>
    <col min="2" max="2" width="18" bestFit="1" customWidth="1"/>
  </cols>
  <sheetData>
    <row r="1" spans="1:2" ht="15.6" x14ac:dyDescent="0.3">
      <c r="A1" s="1" t="s">
        <v>89</v>
      </c>
      <c r="B1" s="1" t="s">
        <v>74</v>
      </c>
    </row>
    <row r="2" spans="1:2" ht="15.6" x14ac:dyDescent="0.3">
      <c r="A2" s="1" t="s">
        <v>52</v>
      </c>
      <c r="B2" s="1">
        <v>2</v>
      </c>
    </row>
    <row r="3" spans="1:2" ht="15.6" x14ac:dyDescent="0.3">
      <c r="A3" s="1" t="s">
        <v>138</v>
      </c>
      <c r="B3" s="1" t="s">
        <v>123</v>
      </c>
    </row>
    <row r="4" spans="1:2" ht="15.6" x14ac:dyDescent="0.3">
      <c r="A4" s="1" t="s">
        <v>82</v>
      </c>
      <c r="B4" s="1" t="s">
        <v>0</v>
      </c>
    </row>
    <row r="5" spans="1:2" ht="15.6" x14ac:dyDescent="0.3">
      <c r="A5" s="1" t="s">
        <v>83</v>
      </c>
      <c r="B5" s="1" t="s">
        <v>0</v>
      </c>
    </row>
    <row r="6" spans="1:2" ht="15.6" x14ac:dyDescent="0.3">
      <c r="A6" s="1" t="s">
        <v>84</v>
      </c>
      <c r="B6" s="3" t="s">
        <v>39</v>
      </c>
    </row>
    <row r="7" spans="1:2" ht="15.6" x14ac:dyDescent="0.3">
      <c r="A7" s="1" t="s">
        <v>117</v>
      </c>
      <c r="B7" s="1" t="s">
        <v>33</v>
      </c>
    </row>
    <row r="8" spans="1:2" ht="15.6" x14ac:dyDescent="0.3">
      <c r="A8" s="1" t="s">
        <v>118</v>
      </c>
      <c r="B8" s="1" t="s">
        <v>24</v>
      </c>
    </row>
    <row r="9" spans="1:2" ht="15.6" x14ac:dyDescent="0.3">
      <c r="A9" s="1" t="s">
        <v>40</v>
      </c>
      <c r="B9" s="1" t="s">
        <v>34</v>
      </c>
    </row>
    <row r="10" spans="1:2" ht="15.6" x14ac:dyDescent="0.3">
      <c r="A10" s="1" t="s">
        <v>90</v>
      </c>
      <c r="B10" s="1" t="s">
        <v>26</v>
      </c>
    </row>
    <row r="11" spans="1:2" ht="15.6" x14ac:dyDescent="0.3">
      <c r="A11" s="1" t="s">
        <v>119</v>
      </c>
      <c r="B11" s="1" t="s">
        <v>98</v>
      </c>
    </row>
    <row r="12" spans="1:2" ht="15.6" x14ac:dyDescent="0.3">
      <c r="A12" s="1" t="s">
        <v>120</v>
      </c>
      <c r="B12" s="1" t="s">
        <v>24</v>
      </c>
    </row>
    <row r="13" spans="1:2" ht="15.6" x14ac:dyDescent="0.3">
      <c r="A13" s="1" t="s">
        <v>101</v>
      </c>
      <c r="B13" s="1" t="s">
        <v>104</v>
      </c>
    </row>
    <row r="14" spans="1:2" ht="15.6" x14ac:dyDescent="0.3">
      <c r="A14" s="1" t="s">
        <v>102</v>
      </c>
      <c r="B14" s="1" t="s">
        <v>24</v>
      </c>
    </row>
    <row r="15" spans="1:2" ht="15.6" x14ac:dyDescent="0.3">
      <c r="A15" s="1" t="s">
        <v>103</v>
      </c>
      <c r="B15" s="1" t="s">
        <v>105</v>
      </c>
    </row>
    <row r="16" spans="1:2" ht="15.6" x14ac:dyDescent="0.3">
      <c r="A16" s="1" t="s">
        <v>121</v>
      </c>
      <c r="B16" s="1" t="s">
        <v>115</v>
      </c>
    </row>
    <row r="17" spans="1:2" ht="15.6" x14ac:dyDescent="0.3">
      <c r="A17" s="1" t="s">
        <v>122</v>
      </c>
      <c r="B17" s="1" t="s">
        <v>116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8DC96-68B5-4C81-A069-1703F4548DA7}">
  <sheetPr codeName="Sheet4"/>
  <dimension ref="A1:J7"/>
  <sheetViews>
    <sheetView workbookViewId="0">
      <selection activeCell="A2" sqref="A2"/>
    </sheetView>
  </sheetViews>
  <sheetFormatPr defaultRowHeight="14.4" x14ac:dyDescent="0.3"/>
  <cols>
    <col min="1" max="3" width="23.33203125" customWidth="1"/>
    <col min="4" max="4" width="21.21875" bestFit="1" customWidth="1"/>
    <col min="5" max="5" width="13.6640625" bestFit="1" customWidth="1"/>
    <col min="6" max="6" width="17.77734375" bestFit="1" customWidth="1"/>
    <col min="7" max="7" width="25.6640625" bestFit="1" customWidth="1"/>
    <col min="8" max="8" width="19.6640625" bestFit="1" customWidth="1"/>
    <col min="9" max="9" width="24.77734375" bestFit="1" customWidth="1"/>
    <col min="10" max="10" width="18.6640625" bestFit="1" customWidth="1"/>
  </cols>
  <sheetData>
    <row r="1" spans="1:10" ht="15.6" x14ac:dyDescent="0.3">
      <c r="A1" s="4" t="s">
        <v>85</v>
      </c>
      <c r="B1" s="4" t="s">
        <v>82</v>
      </c>
      <c r="C1" s="4" t="s">
        <v>83</v>
      </c>
      <c r="D1" s="4" t="s">
        <v>28</v>
      </c>
      <c r="E1" s="4" t="s">
        <v>35</v>
      </c>
      <c r="F1" s="1" t="s">
        <v>41</v>
      </c>
      <c r="G1" s="1" t="s">
        <v>44</v>
      </c>
      <c r="H1" s="1" t="s">
        <v>45</v>
      </c>
      <c r="I1" s="1" t="s">
        <v>62</v>
      </c>
      <c r="J1" s="1" t="s">
        <v>63</v>
      </c>
    </row>
    <row r="2" spans="1:10" ht="15.6" x14ac:dyDescent="0.3">
      <c r="A2" s="3" t="s">
        <v>1</v>
      </c>
      <c r="B2" s="3" t="s">
        <v>0</v>
      </c>
      <c r="C2" s="3" t="s">
        <v>0</v>
      </c>
      <c r="D2" s="3" t="s">
        <v>29</v>
      </c>
      <c r="E2" s="1"/>
      <c r="F2" s="3" t="s">
        <v>42</v>
      </c>
      <c r="G2" s="3" t="s">
        <v>36</v>
      </c>
      <c r="H2" s="3" t="s">
        <v>37</v>
      </c>
      <c r="I2" s="3" t="s">
        <v>64</v>
      </c>
      <c r="J2" s="3" t="s">
        <v>65</v>
      </c>
    </row>
    <row r="3" spans="1:10" ht="15.6" x14ac:dyDescent="0.3">
      <c r="A3" s="3" t="s">
        <v>2</v>
      </c>
      <c r="B3" s="3" t="s">
        <v>0</v>
      </c>
      <c r="C3" s="3" t="s">
        <v>0</v>
      </c>
      <c r="D3" s="3" t="s">
        <v>30</v>
      </c>
      <c r="E3" s="1"/>
      <c r="F3" s="3" t="s">
        <v>42</v>
      </c>
      <c r="G3" s="3" t="s">
        <v>36</v>
      </c>
      <c r="H3" s="3" t="s">
        <v>46</v>
      </c>
      <c r="I3" s="3" t="s">
        <v>64</v>
      </c>
      <c r="J3" s="3" t="s">
        <v>66</v>
      </c>
    </row>
    <row r="4" spans="1:10" ht="15.6" x14ac:dyDescent="0.3">
      <c r="A4" s="3" t="s">
        <v>3</v>
      </c>
      <c r="B4" s="3" t="s">
        <v>0</v>
      </c>
      <c r="C4" s="3" t="s">
        <v>0</v>
      </c>
      <c r="D4" s="1"/>
      <c r="E4" s="1"/>
      <c r="F4" s="3"/>
      <c r="G4" s="3"/>
      <c r="H4" s="3"/>
      <c r="I4" s="3"/>
      <c r="J4" s="3"/>
    </row>
    <row r="5" spans="1:10" ht="15.6" x14ac:dyDescent="0.3">
      <c r="A5" s="3" t="s">
        <v>4</v>
      </c>
      <c r="B5" s="3" t="s">
        <v>0</v>
      </c>
      <c r="C5" s="3" t="s">
        <v>0</v>
      </c>
      <c r="D5" s="3" t="s">
        <v>31</v>
      </c>
      <c r="E5" s="1"/>
      <c r="F5" s="3" t="s">
        <v>42</v>
      </c>
      <c r="G5" s="3" t="s">
        <v>36</v>
      </c>
      <c r="H5" s="3" t="s">
        <v>47</v>
      </c>
      <c r="I5" s="3" t="s">
        <v>64</v>
      </c>
      <c r="J5" s="3" t="s">
        <v>67</v>
      </c>
    </row>
    <row r="6" spans="1:10" ht="15.6" x14ac:dyDescent="0.3">
      <c r="A6" s="3" t="s">
        <v>5</v>
      </c>
      <c r="B6" s="3" t="s">
        <v>0</v>
      </c>
      <c r="C6" s="3" t="s">
        <v>0</v>
      </c>
      <c r="D6" s="3" t="s">
        <v>29</v>
      </c>
      <c r="E6" s="1"/>
      <c r="F6" s="3" t="s">
        <v>43</v>
      </c>
      <c r="G6" s="3" t="s">
        <v>36</v>
      </c>
      <c r="H6" s="3" t="s">
        <v>48</v>
      </c>
      <c r="I6" s="3" t="s">
        <v>64</v>
      </c>
      <c r="J6" s="3" t="s">
        <v>68</v>
      </c>
    </row>
    <row r="7" spans="1:10" ht="15.6" x14ac:dyDescent="0.3">
      <c r="A7" s="3" t="s">
        <v>6</v>
      </c>
      <c r="B7" s="3" t="s">
        <v>0</v>
      </c>
      <c r="C7" s="3" t="s">
        <v>0</v>
      </c>
      <c r="D7" s="3" t="s">
        <v>30</v>
      </c>
      <c r="E7" s="1"/>
      <c r="F7" s="3" t="s">
        <v>43</v>
      </c>
      <c r="G7" s="3" t="s">
        <v>36</v>
      </c>
      <c r="H7" s="3" t="s">
        <v>49</v>
      </c>
      <c r="I7" s="3" t="s">
        <v>64</v>
      </c>
      <c r="J7" s="3" t="s">
        <v>69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E3AB0-42D9-4042-B9B6-74D9D552E60A}">
  <sheetPr codeName="Sheet5"/>
  <dimension ref="A1:H40"/>
  <sheetViews>
    <sheetView topLeftCell="A25" workbookViewId="0">
      <selection activeCell="H40" sqref="H40"/>
    </sheetView>
  </sheetViews>
  <sheetFormatPr defaultRowHeight="14.4" x14ac:dyDescent="0.3"/>
  <cols>
    <col min="1" max="1" width="23" bestFit="1" customWidth="1"/>
    <col min="2" max="2" width="25.77734375" bestFit="1" customWidth="1"/>
    <col min="3" max="3" width="20.109375" bestFit="1" customWidth="1"/>
    <col min="4" max="4" width="12.6640625" bestFit="1" customWidth="1"/>
    <col min="5" max="5" width="22.77734375" bestFit="1" customWidth="1"/>
    <col min="6" max="6" width="20.88671875" bestFit="1" customWidth="1"/>
    <col min="7" max="7" width="23.5546875" bestFit="1" customWidth="1"/>
    <col min="8" max="8" width="18.6640625" bestFit="1" customWidth="1"/>
  </cols>
  <sheetData>
    <row r="1" spans="1:8" ht="15.6" x14ac:dyDescent="0.3">
      <c r="A1" s="9" t="s">
        <v>86</v>
      </c>
      <c r="B1" s="10" t="s">
        <v>72</v>
      </c>
      <c r="C1" s="10" t="s">
        <v>87</v>
      </c>
      <c r="D1" s="10" t="s">
        <v>88</v>
      </c>
      <c r="E1" s="10" t="s">
        <v>93</v>
      </c>
      <c r="F1" s="10" t="s">
        <v>99</v>
      </c>
      <c r="G1" s="10" t="s">
        <v>106</v>
      </c>
      <c r="H1" s="10" t="s">
        <v>63</v>
      </c>
    </row>
    <row r="2" spans="1:8" ht="15.6" x14ac:dyDescent="0.3">
      <c r="A2" s="7" t="s">
        <v>1</v>
      </c>
      <c r="B2" s="8" t="s">
        <v>7</v>
      </c>
      <c r="C2" s="1" t="s">
        <v>125</v>
      </c>
      <c r="D2" s="7">
        <v>1</v>
      </c>
      <c r="E2" s="8" t="s">
        <v>7</v>
      </c>
      <c r="G2" t="str">
        <f>IF(ISBLANK(table_columns[[#This Row],[sat_target_column]]),"",VLOOKUP(CONCATENATE(VLOOKUP("source_system",general[#All],2,0),table_columns[[#This Row],[source_data_type]]),reference[#All],4,0))</f>
        <v/>
      </c>
      <c r="H2" t="str">
        <f>VLOOKUP(table_columns[[#This Row],[source_table_name]],sources[#All],10,0)</f>
        <v>SAT_CORE_INDI</v>
      </c>
    </row>
    <row r="3" spans="1:8" ht="15.6" x14ac:dyDescent="0.3">
      <c r="A3" s="7" t="s">
        <v>1</v>
      </c>
      <c r="B3" s="8" t="s">
        <v>16</v>
      </c>
      <c r="C3" s="1" t="s">
        <v>124</v>
      </c>
      <c r="D3" s="7"/>
      <c r="F3" t="str">
        <f>table_columns[[#This Row],[source_column_name]]</f>
        <v>CUS_NAME_1</v>
      </c>
      <c r="G3" t="str">
        <f>IF(ISBLANK(table_columns[[#This Row],[sat_target_column]]),"",VLOOKUP(CONCATENATE(VLOOKUP("source_system",general[#All],2,0),table_columns[[#This Row],[source_data_type]]),reference[#All],4,0))</f>
        <v>string</v>
      </c>
      <c r="H3" t="str">
        <f>VLOOKUP(table_columns[[#This Row],[source_table_name]],sources[#All],10,0)</f>
        <v>SAT_CORE_INDI</v>
      </c>
    </row>
    <row r="4" spans="1:8" ht="15.6" x14ac:dyDescent="0.3">
      <c r="A4" s="7" t="s">
        <v>1</v>
      </c>
      <c r="B4" s="8" t="s">
        <v>8</v>
      </c>
      <c r="C4" s="1" t="s">
        <v>124</v>
      </c>
      <c r="D4" s="7"/>
      <c r="F4" t="str">
        <f>table_columns[[#This Row],[source_column_name]]</f>
        <v>CUS_GENDER</v>
      </c>
      <c r="G4" t="str">
        <f>IF(ISBLANK(table_columns[[#This Row],[sat_target_column]]),"",VLOOKUP(CONCATENATE(VLOOKUP("source_system",general[#All],2,0),table_columns[[#This Row],[source_data_type]]),reference[#All],4,0))</f>
        <v>string</v>
      </c>
      <c r="H4" t="str">
        <f>VLOOKUP(table_columns[[#This Row],[source_table_name]],sources[#All],10,0)</f>
        <v>SAT_CORE_INDI</v>
      </c>
    </row>
    <row r="5" spans="1:8" ht="15.6" x14ac:dyDescent="0.3">
      <c r="A5" s="7" t="s">
        <v>1</v>
      </c>
      <c r="B5" s="8" t="s">
        <v>9</v>
      </c>
      <c r="C5" s="2" t="s">
        <v>25</v>
      </c>
      <c r="D5" s="7"/>
      <c r="F5" t="str">
        <f>table_columns[[#This Row],[source_column_name]]</f>
        <v>CUS_BIRTH_INCORP_DATE</v>
      </c>
      <c r="G5" t="str">
        <f>IF(ISBLANK(table_columns[[#This Row],[sat_target_column]]),"",VLOOKUP(CONCATENATE(VLOOKUP("source_system",general[#All],2,0),table_columns[[#This Row],[source_data_type]]),reference[#All],4,0))</f>
        <v>date</v>
      </c>
      <c r="H5" t="str">
        <f>VLOOKUP(table_columns[[#This Row],[source_table_name]],sources[#All],10,0)</f>
        <v>SAT_CORE_INDI</v>
      </c>
    </row>
    <row r="6" spans="1:8" ht="15.6" x14ac:dyDescent="0.3">
      <c r="A6" s="7" t="s">
        <v>1</v>
      </c>
      <c r="B6" s="8" t="s">
        <v>10</v>
      </c>
      <c r="C6" s="1" t="s">
        <v>124</v>
      </c>
      <c r="D6" s="7"/>
      <c r="F6" t="str">
        <f>table_columns[[#This Row],[source_column_name]]</f>
        <v>CUS_NATIONALITY</v>
      </c>
      <c r="G6" t="str">
        <f>IF(ISBLANK(table_columns[[#This Row],[sat_target_column]]),"",VLOOKUP(CONCATENATE(VLOOKUP("source_system",general[#All],2,0),table_columns[[#This Row],[source_data_type]]),reference[#All],4,0))</f>
        <v>string</v>
      </c>
      <c r="H6" t="str">
        <f>VLOOKUP(table_columns[[#This Row],[source_table_name]],sources[#All],10,0)</f>
        <v>SAT_CORE_INDI</v>
      </c>
    </row>
    <row r="7" spans="1:8" ht="15.6" x14ac:dyDescent="0.3">
      <c r="A7" s="7" t="s">
        <v>1</v>
      </c>
      <c r="B7" s="8" t="s">
        <v>17</v>
      </c>
      <c r="C7" s="1" t="s">
        <v>124</v>
      </c>
      <c r="D7" s="7"/>
      <c r="F7" t="str">
        <f>table_columns[[#This Row],[source_column_name]]</f>
        <v>CUS_STREET</v>
      </c>
      <c r="G7" t="str">
        <f>IF(ISBLANK(table_columns[[#This Row],[sat_target_column]]),"",VLOOKUP(CONCATENATE(VLOOKUP("source_system",general[#All],2,0),table_columns[[#This Row],[source_data_type]]),reference[#All],4,0))</f>
        <v>string</v>
      </c>
      <c r="H7" t="str">
        <f>VLOOKUP(table_columns[[#This Row],[source_table_name]],sources[#All],10,0)</f>
        <v>SAT_CORE_INDI</v>
      </c>
    </row>
    <row r="8" spans="1:8" ht="15.6" x14ac:dyDescent="0.3">
      <c r="A8" s="7" t="s">
        <v>1</v>
      </c>
      <c r="B8" s="8" t="s">
        <v>18</v>
      </c>
      <c r="C8" s="1" t="s">
        <v>124</v>
      </c>
      <c r="D8" s="7"/>
      <c r="F8" t="str">
        <f>table_columns[[#This Row],[source_column_name]]</f>
        <v>CUS_ADDRESS</v>
      </c>
      <c r="G8" t="str">
        <f>IF(ISBLANK(table_columns[[#This Row],[sat_target_column]]),"",VLOOKUP(CONCATENATE(VLOOKUP("source_system",general[#All],2,0),table_columns[[#This Row],[source_data_type]]),reference[#All],4,0))</f>
        <v>string</v>
      </c>
      <c r="H8" t="str">
        <f>VLOOKUP(table_columns[[#This Row],[source_table_name]],sources[#All],10,0)</f>
        <v>SAT_CORE_INDI</v>
      </c>
    </row>
    <row r="9" spans="1:8" ht="15.6" x14ac:dyDescent="0.3">
      <c r="A9" s="7" t="s">
        <v>1</v>
      </c>
      <c r="B9" s="8" t="s">
        <v>19</v>
      </c>
      <c r="C9" s="1" t="s">
        <v>124</v>
      </c>
      <c r="D9" s="7"/>
      <c r="F9" t="str">
        <f>table_columns[[#This Row],[source_column_name]]</f>
        <v>CUS_MOBILE_NUMBER</v>
      </c>
      <c r="G9" t="str">
        <f>IF(ISBLANK(table_columns[[#This Row],[sat_target_column]]),"",VLOOKUP(CONCATENATE(VLOOKUP("source_system",general[#All],2,0),table_columns[[#This Row],[source_data_type]]),reference[#All],4,0))</f>
        <v>string</v>
      </c>
      <c r="H9" t="str">
        <f>VLOOKUP(table_columns[[#This Row],[source_table_name]],sources[#All],10,0)</f>
        <v>SAT_CORE_INDI</v>
      </c>
    </row>
    <row r="10" spans="1:8" ht="15.6" x14ac:dyDescent="0.3">
      <c r="A10" s="7" t="s">
        <v>1</v>
      </c>
      <c r="B10" s="8" t="s">
        <v>21</v>
      </c>
      <c r="C10" s="1" t="s">
        <v>124</v>
      </c>
      <c r="D10" s="7"/>
      <c r="F10" t="str">
        <f>table_columns[[#This Row],[source_column_name]]</f>
        <v>CUS_EMAIL_1</v>
      </c>
      <c r="G10" t="str">
        <f>IF(ISBLANK(table_columns[[#This Row],[sat_target_column]]),"",VLOOKUP(CONCATENATE(VLOOKUP("source_system",general[#All],2,0),table_columns[[#This Row],[source_data_type]]),reference[#All],4,0))</f>
        <v>string</v>
      </c>
      <c r="H10" t="str">
        <f>VLOOKUP(table_columns[[#This Row],[source_table_name]],sources[#All],10,0)</f>
        <v>SAT_CORE_INDI</v>
      </c>
    </row>
    <row r="11" spans="1:8" ht="15.6" x14ac:dyDescent="0.3">
      <c r="A11" s="7" t="s">
        <v>1</v>
      </c>
      <c r="B11" s="8" t="s">
        <v>22</v>
      </c>
      <c r="C11" s="1" t="s">
        <v>124</v>
      </c>
      <c r="D11" s="7"/>
      <c r="F11" t="str">
        <f>table_columns[[#This Row],[source_column_name]]</f>
        <v>CUS_LEGAL_ID</v>
      </c>
      <c r="G11" t="str">
        <f>IF(ISBLANK(table_columns[[#This Row],[sat_target_column]]),"",VLOOKUP(CONCATENATE(VLOOKUP("source_system",general[#All],2,0),table_columns[[#This Row],[source_data_type]]),reference[#All],4,0))</f>
        <v>string</v>
      </c>
      <c r="H11" t="str">
        <f>VLOOKUP(table_columns[[#This Row],[source_table_name]],sources[#All],10,0)</f>
        <v>SAT_CORE_INDI</v>
      </c>
    </row>
    <row r="12" spans="1:8" ht="15.6" x14ac:dyDescent="0.3">
      <c r="A12" s="7" t="s">
        <v>1</v>
      </c>
      <c r="B12" s="8" t="s">
        <v>11</v>
      </c>
      <c r="C12" s="1" t="s">
        <v>124</v>
      </c>
      <c r="D12" s="7"/>
      <c r="F12" t="str">
        <f>table_columns[[#This Row],[source_column_name]]</f>
        <v>CUS_LEGAL_DOC_NAME</v>
      </c>
      <c r="G12" t="str">
        <f>IF(ISBLANK(table_columns[[#This Row],[sat_target_column]]),"",VLOOKUP(CONCATENATE(VLOOKUP("source_system",general[#All],2,0),table_columns[[#This Row],[source_data_type]]),reference[#All],4,0))</f>
        <v>string</v>
      </c>
      <c r="H12" t="str">
        <f>VLOOKUP(table_columns[[#This Row],[source_table_name]],sources[#All],10,0)</f>
        <v>SAT_CORE_INDI</v>
      </c>
    </row>
    <row r="13" spans="1:8" ht="15.6" x14ac:dyDescent="0.3">
      <c r="A13" s="7" t="s">
        <v>1</v>
      </c>
      <c r="B13" s="8" t="s">
        <v>12</v>
      </c>
      <c r="C13" s="2" t="s">
        <v>25</v>
      </c>
      <c r="D13" s="7"/>
      <c r="F13" t="str">
        <f>table_columns[[#This Row],[source_column_name]]</f>
        <v>CUS_LEGAL_ISS_DATE</v>
      </c>
      <c r="G13" t="str">
        <f>IF(ISBLANK(table_columns[[#This Row],[sat_target_column]]),"",VLOOKUP(CONCATENATE(VLOOKUP("source_system",general[#All],2,0),table_columns[[#This Row],[source_data_type]]),reference[#All],4,0))</f>
        <v>date</v>
      </c>
      <c r="H13" t="str">
        <f>VLOOKUP(table_columns[[#This Row],[source_table_name]],sources[#All],10,0)</f>
        <v>SAT_CORE_INDI</v>
      </c>
    </row>
    <row r="14" spans="1:8" ht="15.6" x14ac:dyDescent="0.3">
      <c r="A14" s="7" t="s">
        <v>1</v>
      </c>
      <c r="B14" s="8" t="s">
        <v>23</v>
      </c>
      <c r="C14" s="1" t="s">
        <v>124</v>
      </c>
      <c r="D14" s="7"/>
      <c r="F14" t="str">
        <f>table_columns[[#This Row],[source_column_name]]</f>
        <v>CUS_LEGAL_ISS_AUTH</v>
      </c>
      <c r="G14" t="str">
        <f>IF(ISBLANK(table_columns[[#This Row],[sat_target_column]]),"",VLOOKUP(CONCATENATE(VLOOKUP("source_system",general[#All],2,0),table_columns[[#This Row],[source_data_type]]),reference[#All],4,0))</f>
        <v>string</v>
      </c>
      <c r="H14" t="str">
        <f>VLOOKUP(table_columns[[#This Row],[source_table_name]],sources[#All],10,0)</f>
        <v>SAT_CORE_INDI</v>
      </c>
    </row>
    <row r="15" spans="1:8" ht="15.6" x14ac:dyDescent="0.3">
      <c r="A15" s="7" t="s">
        <v>1</v>
      </c>
      <c r="B15" s="8" t="s">
        <v>13</v>
      </c>
      <c r="C15" s="1" t="s">
        <v>125</v>
      </c>
      <c r="D15" s="7"/>
      <c r="F15" t="str">
        <f>table_columns[[#This Row],[source_column_name]]</f>
        <v>CUS_POSITION</v>
      </c>
      <c r="G15" t="str">
        <f>IF(ISBLANK(table_columns[[#This Row],[sat_target_column]]),"",VLOOKUP(CONCATENATE(VLOOKUP("source_system",general[#All],2,0),table_columns[[#This Row],[source_data_type]]),reference[#All],4,0))</f>
        <v>integer</v>
      </c>
      <c r="H15" t="str">
        <f>VLOOKUP(table_columns[[#This Row],[source_table_name]],sources[#All],10,0)</f>
        <v>SAT_CORE_INDI</v>
      </c>
    </row>
    <row r="16" spans="1:8" ht="15.6" x14ac:dyDescent="0.3">
      <c r="A16" s="7" t="s">
        <v>1</v>
      </c>
      <c r="B16" s="8" t="s">
        <v>14</v>
      </c>
      <c r="C16" s="1" t="s">
        <v>125</v>
      </c>
      <c r="D16" s="7"/>
      <c r="F16" t="str">
        <f>table_columns[[#This Row],[source_column_name]]</f>
        <v>CUS_SECTOR</v>
      </c>
      <c r="G16" t="str">
        <f>IF(ISBLANK(table_columns[[#This Row],[sat_target_column]]),"",VLOOKUP(CONCATENATE(VLOOKUP("source_system",general[#All],2,0),table_columns[[#This Row],[source_data_type]]),reference[#All],4,0))</f>
        <v>integer</v>
      </c>
      <c r="H16" t="str">
        <f>VLOOKUP(table_columns[[#This Row],[source_table_name]],sources[#All],10,0)</f>
        <v>SAT_CORE_INDI</v>
      </c>
    </row>
    <row r="17" spans="1:8" ht="15.6" x14ac:dyDescent="0.3">
      <c r="A17" s="7" t="s">
        <v>1</v>
      </c>
      <c r="B17" s="8" t="s">
        <v>15</v>
      </c>
      <c r="C17" s="2" t="s">
        <v>61</v>
      </c>
      <c r="D17" s="7"/>
      <c r="F17" t="str">
        <f>table_columns[[#This Row],[source_column_name]]</f>
        <v>CUS_CREATION_DATE</v>
      </c>
      <c r="G17" t="str">
        <f>IF(ISBLANK(table_columns[[#This Row],[sat_target_column]]),"",VLOOKUP(CONCATENATE(VLOOKUP("source_system",general[#All],2,0),table_columns[[#This Row],[source_data_type]]),reference[#All],4,0))</f>
        <v>timestamp without timezone</v>
      </c>
      <c r="H17" t="str">
        <f>VLOOKUP(table_columns[[#This Row],[source_table_name]],sources[#All],10,0)</f>
        <v>SAT_CORE_INDI</v>
      </c>
    </row>
    <row r="18" spans="1:8" ht="15.6" x14ac:dyDescent="0.3">
      <c r="A18" s="7" t="s">
        <v>1</v>
      </c>
      <c r="B18" s="2" t="s">
        <v>27</v>
      </c>
      <c r="C18" s="2" t="s">
        <v>58</v>
      </c>
      <c r="D18" s="7">
        <v>2</v>
      </c>
      <c r="E18" s="8" t="s">
        <v>7</v>
      </c>
      <c r="F18" t="str">
        <f>table_columns[[#This Row],[source_column_name]]</f>
        <v>BRN_CODE</v>
      </c>
      <c r="G18" t="str">
        <f>IF(ISBLANK(table_columns[[#This Row],[sat_target_column]]),"",VLOOKUP(CONCATENATE(VLOOKUP("source_system",general[#All],2,0),table_columns[[#This Row],[source_data_type]]),reference[#All],4,0))</f>
        <v>string</v>
      </c>
      <c r="H18" t="str">
        <f>VLOOKUP(table_columns[[#This Row],[source_table_name]],sources[#All],10,0)</f>
        <v>SAT_CORE_INDI</v>
      </c>
    </row>
    <row r="19" spans="1:8" ht="15.6" x14ac:dyDescent="0.3">
      <c r="A19" s="7" t="s">
        <v>2</v>
      </c>
      <c r="B19" s="3" t="s">
        <v>153</v>
      </c>
      <c r="C19" s="2" t="s">
        <v>124</v>
      </c>
      <c r="D19" s="7">
        <v>1</v>
      </c>
      <c r="E19" s="8" t="s">
        <v>7</v>
      </c>
      <c r="G19" t="str">
        <f>IF(ISBLANK(table_columns[[#This Row],[sat_target_column]]),"",VLOOKUP(CONCATENATE(VLOOKUP("source_system",general[#All],2,0),table_columns[[#This Row],[source_data_type]]),reference[#All],4,0))</f>
        <v/>
      </c>
      <c r="H19" t="str">
        <f>VLOOKUP(table_columns[[#This Row],[source_table_name]],sources[#All],10,0)</f>
        <v>SAT_CARD_INDI</v>
      </c>
    </row>
    <row r="20" spans="1:8" ht="15.6" x14ac:dyDescent="0.3">
      <c r="A20" s="7" t="s">
        <v>2</v>
      </c>
      <c r="B20" s="3" t="s">
        <v>152</v>
      </c>
      <c r="C20" s="2" t="s">
        <v>125</v>
      </c>
      <c r="D20" s="7"/>
      <c r="F20" t="str">
        <f>table_columns[[#This Row],[source_column_name]]</f>
        <v>CB_CIF_NO</v>
      </c>
      <c r="G20" t="str">
        <f>IF(ISBLANK(table_columns[[#This Row],[sat_target_column]]),"",VLOOKUP(CONCATENATE(VLOOKUP("source_system",general[#All],2,0),table_columns[[#This Row],[source_data_type]]),reference[#All],4,0))</f>
        <v>integer</v>
      </c>
      <c r="H20" t="str">
        <f>VLOOKUP(table_columns[[#This Row],[source_table_name]],sources[#All],10,0)</f>
        <v>SAT_CARD_INDI</v>
      </c>
    </row>
    <row r="21" spans="1:8" ht="15.6" x14ac:dyDescent="0.3">
      <c r="A21" s="7" t="s">
        <v>2</v>
      </c>
      <c r="B21" s="3" t="s">
        <v>154</v>
      </c>
      <c r="C21" s="2" t="s">
        <v>124</v>
      </c>
      <c r="D21" s="7"/>
      <c r="F21" t="str">
        <f>table_columns[[#This Row],[source_column_name]]</f>
        <v>CB_CUSTOMER_IDNO</v>
      </c>
      <c r="G21" t="str">
        <f>IF(ISBLANK(table_columns[[#This Row],[sat_target_column]]),"",VLOOKUP(CONCATENATE(VLOOKUP("source_system",general[#All],2,0),table_columns[[#This Row],[source_data_type]]),reference[#All],4,0))</f>
        <v>string</v>
      </c>
      <c r="H21" t="str">
        <f>VLOOKUP(table_columns[[#This Row],[source_table_name]],sources[#All],10,0)</f>
        <v>SAT_CARD_INDI</v>
      </c>
    </row>
    <row r="22" spans="1:8" ht="15.6" x14ac:dyDescent="0.3">
      <c r="A22" s="7" t="s">
        <v>2</v>
      </c>
      <c r="B22" s="3" t="s">
        <v>155</v>
      </c>
      <c r="C22" s="2" t="s">
        <v>124</v>
      </c>
      <c r="D22" s="7"/>
      <c r="F22" t="str">
        <f>table_columns[[#This Row],[source_column_name]]</f>
        <v>CB_SEX</v>
      </c>
      <c r="G22" t="str">
        <f>IF(ISBLANK(table_columns[[#This Row],[sat_target_column]]),"",VLOOKUP(CONCATENATE(VLOOKUP("source_system",general[#All],2,0),table_columns[[#This Row],[source_data_type]]),reference[#All],4,0))</f>
        <v>string</v>
      </c>
      <c r="H22" t="str">
        <f>VLOOKUP(table_columns[[#This Row],[source_table_name]],sources[#All],10,0)</f>
        <v>SAT_CARD_INDI</v>
      </c>
    </row>
    <row r="23" spans="1:8" ht="15.6" x14ac:dyDescent="0.3">
      <c r="A23" s="7" t="s">
        <v>2</v>
      </c>
      <c r="B23" s="3" t="s">
        <v>156</v>
      </c>
      <c r="C23" s="2" t="s">
        <v>25</v>
      </c>
      <c r="D23" s="7"/>
      <c r="F23" t="str">
        <f>table_columns[[#This Row],[source_column_name]]</f>
        <v>CB_DOB</v>
      </c>
      <c r="G23" t="str">
        <f>IF(ISBLANK(table_columns[[#This Row],[sat_target_column]]),"",VLOOKUP(CONCATENATE(VLOOKUP("source_system",general[#All],2,0),table_columns[[#This Row],[source_data_type]]),reference[#All],4,0))</f>
        <v>date</v>
      </c>
      <c r="H23" t="str">
        <f>VLOOKUP(table_columns[[#This Row],[source_table_name]],sources[#All],10,0)</f>
        <v>SAT_CARD_INDI</v>
      </c>
    </row>
    <row r="24" spans="1:8" ht="15.6" x14ac:dyDescent="0.3">
      <c r="A24" s="7" t="s">
        <v>2</v>
      </c>
      <c r="B24" s="3" t="s">
        <v>157</v>
      </c>
      <c r="C24" s="2" t="s">
        <v>124</v>
      </c>
      <c r="D24" s="7"/>
      <c r="F24" t="str">
        <f>table_columns[[#This Row],[source_column_name]]</f>
        <v>CB_NATIONALITY</v>
      </c>
      <c r="G24" t="str">
        <f>IF(ISBLANK(table_columns[[#This Row],[sat_target_column]]),"",VLOOKUP(CONCATENATE(VLOOKUP("source_system",general[#All],2,0),table_columns[[#This Row],[source_data_type]]),reference[#All],4,0))</f>
        <v>string</v>
      </c>
      <c r="H24" t="str">
        <f>VLOOKUP(table_columns[[#This Row],[source_table_name]],sources[#All],10,0)</f>
        <v>SAT_CARD_INDI</v>
      </c>
    </row>
    <row r="25" spans="1:8" ht="15.6" x14ac:dyDescent="0.3">
      <c r="A25" s="7" t="s">
        <v>2</v>
      </c>
      <c r="B25" s="3" t="s">
        <v>158</v>
      </c>
      <c r="C25" s="2" t="s">
        <v>124</v>
      </c>
      <c r="D25" s="7"/>
      <c r="F25" t="str">
        <f>table_columns[[#This Row],[source_column_name]]</f>
        <v>CB_MOBILE_NO</v>
      </c>
      <c r="G25" t="str">
        <f>IF(ISBLANK(table_columns[[#This Row],[sat_target_column]]),"",VLOOKUP(CONCATENATE(VLOOKUP("source_system",general[#All],2,0),table_columns[[#This Row],[source_data_type]]),reference[#All],4,0))</f>
        <v>string</v>
      </c>
      <c r="H25" t="str">
        <f>VLOOKUP(table_columns[[#This Row],[source_table_name]],sources[#All],10,0)</f>
        <v>SAT_CARD_INDI</v>
      </c>
    </row>
    <row r="26" spans="1:8" ht="15.6" x14ac:dyDescent="0.3">
      <c r="A26" s="7" t="s">
        <v>2</v>
      </c>
      <c r="B26" s="3" t="s">
        <v>159</v>
      </c>
      <c r="C26" s="2" t="s">
        <v>124</v>
      </c>
      <c r="D26" s="7"/>
      <c r="F26" t="str">
        <f>table_columns[[#This Row],[source_column_name]]</f>
        <v>CB_EMAIL</v>
      </c>
      <c r="G26" t="str">
        <f>IF(ISBLANK(table_columns[[#This Row],[sat_target_column]]),"",VLOOKUP(CONCATENATE(VLOOKUP("source_system",general[#All],2,0),table_columns[[#This Row],[source_data_type]]),reference[#All],4,0))</f>
        <v>string</v>
      </c>
      <c r="H26" t="str">
        <f>VLOOKUP(table_columns[[#This Row],[source_table_name]],sources[#All],10,0)</f>
        <v>SAT_CARD_INDI</v>
      </c>
    </row>
    <row r="27" spans="1:8" ht="15.6" x14ac:dyDescent="0.3">
      <c r="A27" s="7" t="s">
        <v>2</v>
      </c>
      <c r="B27" s="3" t="s">
        <v>160</v>
      </c>
      <c r="C27" s="2" t="s">
        <v>25</v>
      </c>
      <c r="D27" s="7"/>
      <c r="F27" t="str">
        <f>table_columns[[#This Row],[source_column_name]]</f>
        <v>CB_USER2_DATE_1</v>
      </c>
      <c r="G27" t="str">
        <f>IF(ISBLANK(table_columns[[#This Row],[sat_target_column]]),"",VLOOKUP(CONCATENATE(VLOOKUP("source_system",general[#All],2,0),table_columns[[#This Row],[source_data_type]]),reference[#All],4,0))</f>
        <v>date</v>
      </c>
      <c r="H27" t="str">
        <f>VLOOKUP(table_columns[[#This Row],[source_table_name]],sources[#All],10,0)</f>
        <v>SAT_CARD_INDI</v>
      </c>
    </row>
    <row r="28" spans="1:8" ht="15.6" x14ac:dyDescent="0.3">
      <c r="A28" s="7" t="s">
        <v>2</v>
      </c>
      <c r="B28" s="3" t="s">
        <v>161</v>
      </c>
      <c r="C28" s="2" t="s">
        <v>124</v>
      </c>
      <c r="D28" s="7"/>
      <c r="F28" t="str">
        <f>table_columns[[#This Row],[source_column_name]]</f>
        <v>CB_OCCUPN</v>
      </c>
      <c r="G28" t="str">
        <f>IF(ISBLANK(table_columns[[#This Row],[sat_target_column]]),"",VLOOKUP(CONCATENATE(VLOOKUP("source_system",general[#All],2,0),table_columns[[#This Row],[source_data_type]]),reference[#All],4,0))</f>
        <v>string</v>
      </c>
      <c r="H28" t="str">
        <f>VLOOKUP(table_columns[[#This Row],[source_table_name]],sources[#All],10,0)</f>
        <v>SAT_CARD_INDI</v>
      </c>
    </row>
    <row r="29" spans="1:8" ht="15.6" x14ac:dyDescent="0.3">
      <c r="A29" s="7" t="s">
        <v>2</v>
      </c>
      <c r="B29" s="3" t="s">
        <v>162</v>
      </c>
      <c r="C29" s="2" t="s">
        <v>124</v>
      </c>
      <c r="D29" s="7"/>
      <c r="F29" t="str">
        <f>table_columns[[#This Row],[source_column_name]]</f>
        <v>CB_CARDHOLDER_NAME</v>
      </c>
      <c r="G29" t="str">
        <f>IF(ISBLANK(table_columns[[#This Row],[sat_target_column]]),"",VLOOKUP(CONCATENATE(VLOOKUP("source_system",general[#All],2,0),table_columns[[#This Row],[source_data_type]]),reference[#All],4,0))</f>
        <v>string</v>
      </c>
      <c r="H29" t="str">
        <f>VLOOKUP(table_columns[[#This Row],[source_table_name]],sources[#All],10,0)</f>
        <v>SAT_CARD_INDI</v>
      </c>
    </row>
    <row r="30" spans="1:8" ht="15.6" x14ac:dyDescent="0.3">
      <c r="A30" s="7" t="s">
        <v>2</v>
      </c>
      <c r="B30" s="3" t="s">
        <v>163</v>
      </c>
      <c r="C30" s="2" t="s">
        <v>124</v>
      </c>
      <c r="D30" s="7"/>
      <c r="F30" t="str">
        <f>table_columns[[#This Row],[source_column_name]]</f>
        <v>CB_ID_TYPE</v>
      </c>
      <c r="G30" t="str">
        <f>IF(ISBLANK(table_columns[[#This Row],[sat_target_column]]),"",VLOOKUP(CONCATENATE(VLOOKUP("source_system",general[#All],2,0),table_columns[[#This Row],[source_data_type]]),reference[#All],4,0))</f>
        <v>string</v>
      </c>
      <c r="H30" t="str">
        <f>VLOOKUP(table_columns[[#This Row],[source_table_name]],sources[#All],10,0)</f>
        <v>SAT_CARD_INDI</v>
      </c>
    </row>
    <row r="31" spans="1:8" ht="15.6" x14ac:dyDescent="0.3">
      <c r="A31" s="7" t="s">
        <v>2</v>
      </c>
      <c r="B31" s="3" t="s">
        <v>164</v>
      </c>
      <c r="C31" s="2" t="s">
        <v>25</v>
      </c>
      <c r="D31" s="7"/>
      <c r="F31" t="str">
        <f>table_columns[[#This Row],[source_column_name]]</f>
        <v>CB_CREATION_DATE</v>
      </c>
      <c r="G31" t="str">
        <f>IF(ISBLANK(table_columns[[#This Row],[sat_target_column]]),"",VLOOKUP(CONCATENATE(VLOOKUP("source_system",general[#All],2,0),table_columns[[#This Row],[source_data_type]]),reference[#All],4,0))</f>
        <v>date</v>
      </c>
      <c r="H31" t="str">
        <f>VLOOKUP(table_columns[[#This Row],[source_table_name]],sources[#All],10,0)</f>
        <v>SAT_CARD_INDI</v>
      </c>
    </row>
    <row r="32" spans="1:8" ht="15.6" x14ac:dyDescent="0.3">
      <c r="A32" s="7" t="s">
        <v>2</v>
      </c>
      <c r="B32" s="3" t="s">
        <v>27</v>
      </c>
      <c r="C32" s="2" t="s">
        <v>124</v>
      </c>
      <c r="D32" s="7"/>
      <c r="F32" t="str">
        <f>table_columns[[#This Row],[source_column_name]]</f>
        <v>BRN_CODE</v>
      </c>
      <c r="G32" t="str">
        <f>IF(ISBLANK(table_columns[[#This Row],[sat_target_column]]),"",VLOOKUP(CONCATENATE(VLOOKUP("source_system",general[#All],2,0),table_columns[[#This Row],[source_data_type]]),reference[#All],4,0))</f>
        <v>string</v>
      </c>
      <c r="H32" t="str">
        <f>VLOOKUP(table_columns[[#This Row],[source_table_name]],sources[#All],10,0)</f>
        <v>SAT_CARD_INDI</v>
      </c>
    </row>
    <row r="33" spans="1:8" ht="15.6" x14ac:dyDescent="0.3">
      <c r="A33" s="7" t="s">
        <v>5</v>
      </c>
      <c r="B33" s="8" t="s">
        <v>166</v>
      </c>
      <c r="C33" s="1" t="s">
        <v>125</v>
      </c>
      <c r="D33" s="7">
        <v>1</v>
      </c>
      <c r="E33" s="8" t="s">
        <v>7</v>
      </c>
      <c r="F33" t="str">
        <f>table_columns[[#This Row],[source_column_name]]</f>
        <v>CUS_CORP_CODE</v>
      </c>
      <c r="G33" t="str">
        <f>IF(ISBLANK(table_columns[[#This Row],[sat_target_column]]),"",VLOOKUP(CONCATENATE(VLOOKUP("source_system",general[#All],2,0),table_columns[[#This Row],[source_data_type]]),reference[#All],4,0))</f>
        <v>integer</v>
      </c>
      <c r="H33" t="str">
        <f>VLOOKUP(table_columns[[#This Row],[source_table_name]],sources[#All],10,0)</f>
        <v>SAT_CORE_CORP</v>
      </c>
    </row>
    <row r="34" spans="1:8" ht="15.6" x14ac:dyDescent="0.3">
      <c r="A34" s="7" t="s">
        <v>5</v>
      </c>
      <c r="B34" s="8" t="s">
        <v>167</v>
      </c>
      <c r="C34" s="1" t="s">
        <v>124</v>
      </c>
      <c r="D34" s="7"/>
      <c r="F34" t="str">
        <f>table_columns[[#This Row],[source_column_name]]</f>
        <v>CUS_NAME</v>
      </c>
      <c r="G34" t="str">
        <f>IF(ISBLANK(table_columns[[#This Row],[sat_target_column]]),"",VLOOKUP(CONCATENATE(VLOOKUP("source_system",general[#All],2,0),table_columns[[#This Row],[source_data_type]]),reference[#All],4,0))</f>
        <v>string</v>
      </c>
      <c r="H34" t="str">
        <f>VLOOKUP(table_columns[[#This Row],[source_table_name]],sources[#All],10,0)</f>
        <v>SAT_CORE_CORP</v>
      </c>
    </row>
    <row r="35" spans="1:8" ht="15.6" x14ac:dyDescent="0.3">
      <c r="A35" s="7" t="s">
        <v>5</v>
      </c>
      <c r="B35" s="8" t="s">
        <v>168</v>
      </c>
      <c r="C35" s="1" t="s">
        <v>124</v>
      </c>
      <c r="D35" s="7"/>
      <c r="F35" t="str">
        <f>table_columns[[#This Row],[source_column_name]]</f>
        <v>CUS_TAX_CODE</v>
      </c>
      <c r="G35" t="str">
        <f>IF(ISBLANK(table_columns[[#This Row],[sat_target_column]]),"",VLOOKUP(CONCATENATE(VLOOKUP("source_system",general[#All],2,0),table_columns[[#This Row],[source_data_type]]),reference[#All],4,0))</f>
        <v>string</v>
      </c>
      <c r="H35" t="str">
        <f>VLOOKUP(table_columns[[#This Row],[source_table_name]],sources[#All],10,0)</f>
        <v>SAT_CORE_CORP</v>
      </c>
    </row>
    <row r="36" spans="1:8" ht="15.6" x14ac:dyDescent="0.3">
      <c r="A36" s="7" t="s">
        <v>5</v>
      </c>
      <c r="B36" s="8" t="s">
        <v>169</v>
      </c>
      <c r="C36" s="2" t="s">
        <v>25</v>
      </c>
      <c r="D36" s="7"/>
      <c r="F36" t="str">
        <f>table_columns[[#This Row],[source_column_name]]</f>
        <v>CUS_TAX_DATE</v>
      </c>
      <c r="G36" t="str">
        <f>IF(ISBLANK(table_columns[[#This Row],[sat_target_column]]),"",VLOOKUP(CONCATENATE(VLOOKUP("source_system",general[#All],2,0),table_columns[[#This Row],[source_data_type]]),reference[#All],4,0))</f>
        <v>date</v>
      </c>
      <c r="H36" t="str">
        <f>VLOOKUP(table_columns[[#This Row],[source_table_name]],sources[#All],10,0)</f>
        <v>SAT_CORE_CORP</v>
      </c>
    </row>
    <row r="37" spans="1:8" ht="15.6" x14ac:dyDescent="0.3">
      <c r="A37" s="7" t="s">
        <v>5</v>
      </c>
      <c r="B37" s="8" t="s">
        <v>170</v>
      </c>
      <c r="C37" s="1" t="s">
        <v>124</v>
      </c>
      <c r="D37" s="7"/>
      <c r="F37" t="str">
        <f>table_columns[[#This Row],[source_column_name]]</f>
        <v>CUS_CORP_ID</v>
      </c>
      <c r="G37" t="str">
        <f>IF(ISBLANK(table_columns[[#This Row],[sat_target_column]]),"",VLOOKUP(CONCATENATE(VLOOKUP("source_system",general[#All],2,0),table_columns[[#This Row],[source_data_type]]),reference[#All],4,0))</f>
        <v>string</v>
      </c>
      <c r="H37" t="str">
        <f>VLOOKUP(table_columns[[#This Row],[source_table_name]],sources[#All],10,0)</f>
        <v>SAT_CORE_CORP</v>
      </c>
    </row>
    <row r="38" spans="1:8" ht="15.6" x14ac:dyDescent="0.3">
      <c r="A38" s="7" t="s">
        <v>5</v>
      </c>
      <c r="B38" s="8" t="s">
        <v>171</v>
      </c>
      <c r="C38" s="1" t="s">
        <v>25</v>
      </c>
      <c r="D38" s="7"/>
      <c r="F38" t="str">
        <f>table_columns[[#This Row],[source_column_name]]</f>
        <v>CUS_CORP_DATE</v>
      </c>
      <c r="G38" t="str">
        <f>IF(ISBLANK(table_columns[[#This Row],[sat_target_column]]),"",VLOOKUP(CONCATENATE(VLOOKUP("source_system",general[#All],2,0),table_columns[[#This Row],[source_data_type]]),reference[#All],4,0))</f>
        <v>date</v>
      </c>
      <c r="H38" t="str">
        <f>VLOOKUP(table_columns[[#This Row],[source_table_name]],sources[#All],10,0)</f>
        <v>SAT_CORE_CORP</v>
      </c>
    </row>
    <row r="39" spans="1:8" ht="15.6" x14ac:dyDescent="0.3">
      <c r="A39" s="7" t="s">
        <v>5</v>
      </c>
      <c r="B39" s="8" t="s">
        <v>18</v>
      </c>
      <c r="C39" s="1" t="s">
        <v>124</v>
      </c>
      <c r="D39" s="7"/>
      <c r="F39" t="str">
        <f>table_columns[[#This Row],[source_column_name]]</f>
        <v>CUS_ADDRESS</v>
      </c>
      <c r="G39" t="str">
        <f>IF(ISBLANK(table_columns[[#This Row],[sat_target_column]]),"",VLOOKUP(CONCATENATE(VLOOKUP("source_system",general[#All],2,0),table_columns[[#This Row],[source_data_type]]),reference[#All],4,0))</f>
        <v>string</v>
      </c>
      <c r="H39" t="str">
        <f>VLOOKUP(table_columns[[#This Row],[source_table_name]],sources[#All],10,0)</f>
        <v>SAT_CORE_CORP</v>
      </c>
    </row>
    <row r="40" spans="1:8" ht="15.6" x14ac:dyDescent="0.3">
      <c r="A40" s="7" t="s">
        <v>5</v>
      </c>
      <c r="B40" s="3" t="s">
        <v>27</v>
      </c>
      <c r="C40" s="2" t="s">
        <v>124</v>
      </c>
      <c r="D40" s="7"/>
      <c r="F40" t="str">
        <f>table_columns[[#This Row],[source_column_name]]</f>
        <v>BRN_CODE</v>
      </c>
      <c r="G40" t="str">
        <f>IF(ISBLANK(table_columns[[#This Row],[sat_target_column]]),"",VLOOKUP(CONCATENATE(VLOOKUP("source_system",general[#All],2,0),table_columns[[#This Row],[source_data_type]]),reference[#All],4,0))</f>
        <v>string</v>
      </c>
      <c r="H40" t="str">
        <f>VLOOKUP(table_columns[[#This Row],[source_table_name]],sources[#All],10,0)</f>
        <v>SAT_CORE_CORP</v>
      </c>
    </row>
  </sheetData>
  <dataValidations count="1">
    <dataValidation type="list" allowBlank="1" showInputMessage="1" showErrorMessage="1" sqref="A2:A40" xr:uid="{115C8804-64A4-4960-A366-EF82F7C55C9D}">
      <formula1>table_name</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D7D98-21B6-4CA6-AA99-63618557E760}">
  <sheetPr codeName="Sheet6"/>
  <dimension ref="A1:M20"/>
  <sheetViews>
    <sheetView workbookViewId="0">
      <selection activeCell="E1" sqref="E1"/>
    </sheetView>
  </sheetViews>
  <sheetFormatPr defaultRowHeight="14.4" x14ac:dyDescent="0.3"/>
  <cols>
    <col min="1" max="1" width="23" bestFit="1" customWidth="1"/>
    <col min="2" max="2" width="22.77734375" bestFit="1" customWidth="1"/>
    <col min="3" max="3" width="19" customWidth="1"/>
    <col min="4" max="4" width="10.44140625" bestFit="1" customWidth="1"/>
    <col min="5" max="5" width="22.77734375" bestFit="1" customWidth="1"/>
    <col min="6" max="6" width="13.6640625" bestFit="1" customWidth="1"/>
    <col min="7" max="7" width="18.109375" bestFit="1" customWidth="1"/>
    <col min="8" max="8" width="17.44140625" bestFit="1" customWidth="1"/>
    <col min="9" max="9" width="15.5546875" bestFit="1" customWidth="1"/>
    <col min="10" max="10" width="21" bestFit="1" customWidth="1"/>
    <col min="11" max="11" width="18.88671875" bestFit="1" customWidth="1"/>
    <col min="12" max="12" width="13.33203125" bestFit="1" customWidth="1"/>
    <col min="13" max="13" width="18.77734375" bestFit="1" customWidth="1"/>
  </cols>
  <sheetData>
    <row r="1" spans="1:13" ht="15.6" x14ac:dyDescent="0.3">
      <c r="A1" s="13" t="str" cm="1">
        <f t="array" ref="A1:E5">_xlfn._xlws.FILTER(table_columns[[#All],[source_table_name]:[biz_key_column]], table_columns[[#All],[index_key]]&lt;&gt;"")</f>
        <v>source_table_name</v>
      </c>
      <c r="B1" s="13" t="str">
        <v>source_column_name</v>
      </c>
      <c r="C1" s="13" t="str">
        <v>source_data_type</v>
      </c>
      <c r="D1" s="13" t="str">
        <v>index_key</v>
      </c>
      <c r="E1" s="14" t="str">
        <v>biz_key_column</v>
      </c>
      <c r="F1" s="19" t="s">
        <v>38</v>
      </c>
      <c r="G1" s="19" t="s">
        <v>41</v>
      </c>
      <c r="H1" s="19" t="s">
        <v>45</v>
      </c>
      <c r="I1" s="19" t="s">
        <v>117</v>
      </c>
      <c r="J1" s="19" t="s">
        <v>118</v>
      </c>
      <c r="K1" s="19" t="s">
        <v>73</v>
      </c>
      <c r="L1" s="19" t="s">
        <v>40</v>
      </c>
      <c r="M1" s="20" t="s">
        <v>90</v>
      </c>
    </row>
    <row r="2" spans="1:13" ht="15.6" x14ac:dyDescent="0.3">
      <c r="A2" s="1" t="str">
        <v>COREBANK_CUSTOMER</v>
      </c>
      <c r="B2" s="1" t="str">
        <v>CUS_CUSTOMER_CODE</v>
      </c>
      <c r="C2" s="1" t="str">
        <v>number</v>
      </c>
      <c r="D2" s="1">
        <v>1</v>
      </c>
      <c r="E2" s="1" t="str">
        <v>CUS_CUSTOMER_CODE</v>
      </c>
      <c r="F2" s="21" t="str">
        <f>IF(ISBLANK(A2),"",VLOOKUP(CONCATENATE(VLOOKUP("source_system",general[#All],2,0),C2),reference[#All],4,0))</f>
        <v>integer</v>
      </c>
      <c r="G2" s="21" t="str">
        <f>_xlfn.IFNA(VLOOKUP(A2,sources[#All],6,0),"")</f>
        <v>HUB_INDI</v>
      </c>
      <c r="H2" s="21" t="str">
        <f>_xlfn.IFNA(VLOOKUP(A2,sources[#All],8,0),"")</f>
        <v>hub_core_indi</v>
      </c>
      <c r="I2" s="21" t="str">
        <f>IF(ISBLANK(A2),"",VLOOKUP($I$1,general[#All],2,0))</f>
        <v>hash_key_hub</v>
      </c>
      <c r="J2" s="21" t="str">
        <f>IF(ISBLANK(A2),"",VLOOKUP($J$1,general[#All],2,0))</f>
        <v>string</v>
      </c>
      <c r="K2" s="21" t="str">
        <f>IF(ISBLANK(A2),"",CONCATENATE("dv_hkey_",LOWER(G2)))</f>
        <v>dv_hkey_hub_indi</v>
      </c>
      <c r="L2" s="21" t="str">
        <f>IF(ISBLANK(A2),"",VLOOKUP($L$1,general[#All],2,0))</f>
        <v>biz_key</v>
      </c>
      <c r="M2" s="22" t="str">
        <f>IF(ISBLANK(A2),"",VLOOKUP($M$1,general[#All],2,0))</f>
        <v>int</v>
      </c>
    </row>
    <row r="3" spans="1:13" ht="15.6" x14ac:dyDescent="0.3">
      <c r="A3" s="1" t="str">
        <v>COREBANK_CUSTOMER</v>
      </c>
      <c r="B3" s="1" t="str">
        <v>BRN_CODE</v>
      </c>
      <c r="C3" s="1" t="str">
        <v>char</v>
      </c>
      <c r="D3" s="1">
        <v>2</v>
      </c>
      <c r="E3" s="1" t="str">
        <v>CUS_CUSTOMER_CODE</v>
      </c>
      <c r="F3" s="21" t="str">
        <f>IF(ISBLANK(A3),"",VLOOKUP(CONCATENATE(VLOOKUP("source_system",general[#All],2,0),C3),reference[#All],4,0))</f>
        <v>string</v>
      </c>
      <c r="G3" s="21" t="str">
        <f>_xlfn.IFNA(VLOOKUP(A3,sources[#All],6,0),"")</f>
        <v>HUB_INDI</v>
      </c>
      <c r="H3" s="21" t="str">
        <f>_xlfn.IFNA(VLOOKUP(A3,sources[#All],8,0),"")</f>
        <v>hub_core_indi</v>
      </c>
      <c r="I3" s="21" t="str">
        <f>IF(ISBLANK(A3),"",VLOOKUP($I$1,general[#All],2,0))</f>
        <v>hash_key_hub</v>
      </c>
      <c r="J3" s="21" t="str">
        <f>IF(ISBLANK(A3),"",VLOOKUP($J$1,general[#All],2,0))</f>
        <v>string</v>
      </c>
      <c r="K3" s="21" t="str">
        <f>IF(ISBLANK(A3),"",CONCATENATE("dv_hkey_",LOWER(G3)))</f>
        <v>dv_hkey_hub_indi</v>
      </c>
      <c r="L3" s="21" t="str">
        <f>IF(ISBLANK(A3),"",VLOOKUP($L$1,general[#All],2,0))</f>
        <v>biz_key</v>
      </c>
      <c r="M3" s="22" t="str">
        <f>IF(ISBLANK(A3),"",VLOOKUP($M$1,general[#All],2,0))</f>
        <v>int</v>
      </c>
    </row>
    <row r="4" spans="1:13" ht="15.6" x14ac:dyDescent="0.3">
      <c r="A4" t="str">
        <v>CORECARD_CUSTOMER</v>
      </c>
      <c r="B4" t="str">
        <v>CB_CUS_ID</v>
      </c>
      <c r="C4" t="str">
        <v>varchar2</v>
      </c>
      <c r="D4">
        <v>1</v>
      </c>
      <c r="E4" t="str">
        <v>CUS_CUSTOMER_CODE</v>
      </c>
      <c r="F4" s="21" t="str">
        <f>IF(ISBLANK(A4),"",VLOOKUP(CONCATENATE(VLOOKUP("source_system",general[#All],2,0),C4),reference[#All],4,0))</f>
        <v>string</v>
      </c>
      <c r="G4" s="21" t="str">
        <f>_xlfn.IFNA(VLOOKUP(A4,sources[#All],6,0),"")</f>
        <v>HUB_INDI</v>
      </c>
      <c r="H4" s="21" t="str">
        <f>_xlfn.IFNA(VLOOKUP(A4,sources[#All],8,0),"")</f>
        <v>hub_card_indi</v>
      </c>
      <c r="I4" s="21" t="str">
        <f>IF(ISBLANK(A4),"",VLOOKUP($I$1,general[#All],2,0))</f>
        <v>hash_key_hub</v>
      </c>
      <c r="J4" s="21" t="str">
        <f>IF(ISBLANK(A4),"",VLOOKUP($J$1,general[#All],2,0))</f>
        <v>string</v>
      </c>
      <c r="K4" s="21" t="str">
        <f t="shared" ref="K4:K5" si="0">IF(ISBLANK(A4),"",CONCATENATE("dv_hkey_",LOWER(G4)))</f>
        <v>dv_hkey_hub_indi</v>
      </c>
      <c r="L4" s="21" t="str">
        <f>IF(ISBLANK(A4),"",VLOOKUP($L$1,general[#All],2,0))</f>
        <v>biz_key</v>
      </c>
      <c r="M4" s="22" t="str">
        <f>IF(ISBLANK(A4),"",VLOOKUP($M$1,general[#All],2,0))</f>
        <v>int</v>
      </c>
    </row>
    <row r="5" spans="1:13" ht="15.6" x14ac:dyDescent="0.3">
      <c r="A5" t="str">
        <v>COREBANK_CORP</v>
      </c>
      <c r="B5" t="str">
        <v>CUS_CORP_CODE</v>
      </c>
      <c r="C5" t="str">
        <v>number</v>
      </c>
      <c r="D5">
        <v>1</v>
      </c>
      <c r="E5" t="str">
        <v>CUS_CUSTOMER_CODE</v>
      </c>
      <c r="F5" s="23" t="str">
        <f>IF(ISBLANK(A5),"",VLOOKUP(CONCATENATE(VLOOKUP("source_system",general[#All],2,0),C5),reference[#All],4,0))</f>
        <v>integer</v>
      </c>
      <c r="G5" s="23" t="str">
        <f>_xlfn.IFNA(VLOOKUP(A5,sources[#All],6,0),"")</f>
        <v>HUB_CORP</v>
      </c>
      <c r="H5" s="23" t="str">
        <f>_xlfn.IFNA(VLOOKUP(A5,sources[#All],8,0),"")</f>
        <v>hub_core_corp</v>
      </c>
      <c r="I5" s="23" t="str">
        <f>IF(ISBLANK(A5),"",VLOOKUP($I$1,general[#All],2,0))</f>
        <v>hash_key_hub</v>
      </c>
      <c r="J5" s="23" t="str">
        <f>IF(ISBLANK(A5),"",VLOOKUP($J$1,general[#All],2,0))</f>
        <v>string</v>
      </c>
      <c r="K5" s="23" t="str">
        <f t="shared" si="0"/>
        <v>dv_hkey_hub_corp</v>
      </c>
      <c r="L5" s="23" t="str">
        <f>IF(ISBLANK(A5),"",VLOOKUP($L$1,general[#All],2,0))</f>
        <v>biz_key</v>
      </c>
      <c r="M5" s="24" t="str">
        <f>IF(ISBLANK(A5),"",VLOOKUP($M$1,general[#All],2,0))</f>
        <v>int</v>
      </c>
    </row>
    <row r="6" spans="1:13" ht="15.6" x14ac:dyDescent="0.3">
      <c r="F6" s="23" t="str">
        <f>IF(ISBLANK(A6),"",VLOOKUP(CONCATENATE(VLOOKUP("source_system",general[#All],2,0),C6),reference[#All],4,0))</f>
        <v/>
      </c>
      <c r="G6" s="23" t="str">
        <f>_xlfn.IFNA(VLOOKUP(A6,sources[#All],6,0),"")</f>
        <v/>
      </c>
      <c r="H6" s="23" t="str">
        <f>_xlfn.IFNA(VLOOKUP(A6,sources[#All],8,0),"")</f>
        <v/>
      </c>
      <c r="I6" s="23" t="str">
        <f>IF(ISBLANK(A6),"",VLOOKUP($I$1,general[#All],2,0))</f>
        <v/>
      </c>
      <c r="J6" s="23" t="str">
        <f>IF(ISBLANK(A6),"",VLOOKUP($J$1,general[#All],2,0))</f>
        <v/>
      </c>
      <c r="K6" s="23" t="str">
        <f t="shared" ref="K6:K20" si="1">IF(ISBLANK(A6),"",CONCATENATE("dv_hkey_",LOWER(G6)))</f>
        <v/>
      </c>
      <c r="L6" s="23" t="str">
        <f>IF(ISBLANK(A6),"",VLOOKUP($L$1,general[#All],2,0))</f>
        <v/>
      </c>
      <c r="M6" s="24" t="str">
        <f>IF(ISBLANK(A6),"",VLOOKUP($M$1,general[#All],2,0))</f>
        <v/>
      </c>
    </row>
    <row r="7" spans="1:13" ht="15.6" x14ac:dyDescent="0.3">
      <c r="F7" s="23" t="str">
        <f>IF(ISBLANK(A7),"",VLOOKUP(CONCATENATE(VLOOKUP("source_system",general[#All],2,0),C7),reference[#All],4,0))</f>
        <v/>
      </c>
      <c r="G7" s="23" t="str">
        <f>_xlfn.IFNA(VLOOKUP(A7,sources[#All],6,0),"")</f>
        <v/>
      </c>
      <c r="H7" s="23" t="str">
        <f>_xlfn.IFNA(VLOOKUP(A7,sources[#All],8,0),"")</f>
        <v/>
      </c>
      <c r="I7" s="23" t="str">
        <f>IF(ISBLANK(A7),"",VLOOKUP($I$1,general[#All],2,0))</f>
        <v/>
      </c>
      <c r="J7" s="23" t="str">
        <f>IF(ISBLANK(A7),"",VLOOKUP($J$1,general[#All],2,0))</f>
        <v/>
      </c>
      <c r="K7" s="23" t="str">
        <f t="shared" si="1"/>
        <v/>
      </c>
      <c r="L7" s="23" t="str">
        <f>IF(ISBLANK(A7),"",VLOOKUP($L$1,general[#All],2,0))</f>
        <v/>
      </c>
      <c r="M7" s="24" t="str">
        <f>IF(ISBLANK(A7),"",VLOOKUP($M$1,general[#All],2,0))</f>
        <v/>
      </c>
    </row>
    <row r="8" spans="1:13" ht="15.6" x14ac:dyDescent="0.3">
      <c r="F8" s="23" t="str">
        <f>IF(ISBLANK(A8),"",VLOOKUP(CONCATENATE(VLOOKUP("source_system",general[#All],2,0),C8),reference[#All],4,0))</f>
        <v/>
      </c>
      <c r="G8" s="23" t="str">
        <f>_xlfn.IFNA(VLOOKUP(A8,sources[#All],6,0),"")</f>
        <v/>
      </c>
      <c r="H8" s="23" t="str">
        <f>_xlfn.IFNA(VLOOKUP(A8,sources[#All],8,0),"")</f>
        <v/>
      </c>
      <c r="I8" s="23" t="str">
        <f>IF(ISBLANK(A8),"",VLOOKUP($I$1,general[#All],2,0))</f>
        <v/>
      </c>
      <c r="J8" s="23" t="str">
        <f>IF(ISBLANK(A8),"",VLOOKUP($J$1,general[#All],2,0))</f>
        <v/>
      </c>
      <c r="K8" s="23" t="str">
        <f t="shared" si="1"/>
        <v/>
      </c>
      <c r="L8" s="23" t="str">
        <f>IF(ISBLANK(A8),"",VLOOKUP($L$1,general[#All],2,0))</f>
        <v/>
      </c>
      <c r="M8" s="24" t="str">
        <f>IF(ISBLANK(A8),"",VLOOKUP($M$1,general[#All],2,0))</f>
        <v/>
      </c>
    </row>
    <row r="9" spans="1:13" ht="15.6" x14ac:dyDescent="0.3">
      <c r="F9" s="23" t="str">
        <f>IF(ISBLANK(A9),"",VLOOKUP(CONCATENATE(VLOOKUP("source_system",general[#All],2,0),C9),reference[#All],4,0))</f>
        <v/>
      </c>
      <c r="G9" s="23" t="str">
        <f>_xlfn.IFNA(VLOOKUP(A9,sources[#All],6,0),"")</f>
        <v/>
      </c>
      <c r="H9" s="23" t="str">
        <f>_xlfn.IFNA(VLOOKUP(A9,sources[#All],8,0),"")</f>
        <v/>
      </c>
      <c r="I9" s="23" t="str">
        <f>IF(ISBLANK(A9),"",VLOOKUP($I$1,general[#All],2,0))</f>
        <v/>
      </c>
      <c r="J9" s="23" t="str">
        <f>IF(ISBLANK(A9),"",VLOOKUP($J$1,general[#All],2,0))</f>
        <v/>
      </c>
      <c r="K9" s="23" t="str">
        <f t="shared" si="1"/>
        <v/>
      </c>
      <c r="L9" s="23" t="str">
        <f>IF(ISBLANK(A9),"",VLOOKUP($L$1,general[#All],2,0))</f>
        <v/>
      </c>
      <c r="M9" s="24" t="str">
        <f>IF(ISBLANK(A9),"",VLOOKUP($M$1,general[#All],2,0))</f>
        <v/>
      </c>
    </row>
    <row r="10" spans="1:13" ht="15.6" x14ac:dyDescent="0.3">
      <c r="F10" s="23" t="str">
        <f>IF(ISBLANK(A10),"",VLOOKUP(CONCATENATE(VLOOKUP("source_system",general[#All],2,0),C10),reference[#All],4,0))</f>
        <v/>
      </c>
      <c r="G10" s="23" t="str">
        <f>_xlfn.IFNA(VLOOKUP(A10,sources[#All],6,0),"")</f>
        <v/>
      </c>
      <c r="H10" s="23" t="str">
        <f>_xlfn.IFNA(VLOOKUP(A10,sources[#All],8,0),"")</f>
        <v/>
      </c>
      <c r="I10" s="23" t="str">
        <f>IF(ISBLANK(A10),"",VLOOKUP($I$1,general[#All],2,0))</f>
        <v/>
      </c>
      <c r="J10" s="23" t="str">
        <f>IF(ISBLANK(A10),"",VLOOKUP($J$1,general[#All],2,0))</f>
        <v/>
      </c>
      <c r="K10" s="23" t="str">
        <f t="shared" si="1"/>
        <v/>
      </c>
      <c r="L10" s="23" t="str">
        <f>IF(ISBLANK(A10),"",VLOOKUP($L$1,general[#All],2,0))</f>
        <v/>
      </c>
      <c r="M10" s="24" t="str">
        <f>IF(ISBLANK(A10),"",VLOOKUP($M$1,general[#All],2,0))</f>
        <v/>
      </c>
    </row>
    <row r="11" spans="1:13" ht="15.6" x14ac:dyDescent="0.3">
      <c r="F11" s="23" t="str">
        <f>IF(ISBLANK(A11),"",VLOOKUP(CONCATENATE(VLOOKUP("source_system",general[#All],2,0),C11),reference[#All],4,0))</f>
        <v/>
      </c>
      <c r="G11" s="23" t="str">
        <f>_xlfn.IFNA(VLOOKUP(A11,sources[#All],6,0),"")</f>
        <v/>
      </c>
      <c r="H11" s="23" t="str">
        <f>_xlfn.IFNA(VLOOKUP(A11,sources[#All],8,0),"")</f>
        <v/>
      </c>
      <c r="I11" s="23" t="str">
        <f>IF(ISBLANK(A11),"",VLOOKUP($I$1,general[#All],2,0))</f>
        <v/>
      </c>
      <c r="J11" s="23" t="str">
        <f>IF(ISBLANK(A11),"",VLOOKUP($J$1,general[#All],2,0))</f>
        <v/>
      </c>
      <c r="K11" s="23" t="str">
        <f t="shared" si="1"/>
        <v/>
      </c>
      <c r="L11" s="23" t="str">
        <f>IF(ISBLANK(A11),"",VLOOKUP($L$1,general[#All],2,0))</f>
        <v/>
      </c>
      <c r="M11" s="24" t="str">
        <f>IF(ISBLANK(A11),"",VLOOKUP($M$1,general[#All],2,0))</f>
        <v/>
      </c>
    </row>
    <row r="12" spans="1:13" ht="15.6" x14ac:dyDescent="0.3">
      <c r="F12" s="23" t="str">
        <f>IF(ISBLANK(A12),"",VLOOKUP(CONCATENATE(VLOOKUP("source_system",general[#All],2,0),C12),reference[#All],4,0))</f>
        <v/>
      </c>
      <c r="G12" s="23" t="str">
        <f>_xlfn.IFNA(VLOOKUP(A12,sources[#All],6,0),"")</f>
        <v/>
      </c>
      <c r="H12" s="23" t="str">
        <f>_xlfn.IFNA(VLOOKUP(A12,sources[#All],8,0),"")</f>
        <v/>
      </c>
      <c r="I12" s="23" t="str">
        <f>IF(ISBLANK(A12),"",VLOOKUP($I$1,general[#All],2,0))</f>
        <v/>
      </c>
      <c r="J12" s="23" t="str">
        <f>IF(ISBLANK(A12),"",VLOOKUP($J$1,general[#All],2,0))</f>
        <v/>
      </c>
      <c r="K12" s="23" t="str">
        <f t="shared" si="1"/>
        <v/>
      </c>
      <c r="L12" s="23" t="str">
        <f>IF(ISBLANK(A12),"",VLOOKUP($L$1,general[#All],2,0))</f>
        <v/>
      </c>
      <c r="M12" s="24" t="str">
        <f>IF(ISBLANK(A12),"",VLOOKUP($M$1,general[#All],2,0))</f>
        <v/>
      </c>
    </row>
    <row r="13" spans="1:13" ht="15.6" x14ac:dyDescent="0.3">
      <c r="F13" s="23" t="str">
        <f>IF(ISBLANK(A13),"",VLOOKUP(CONCATENATE(VLOOKUP("source_system",general[#All],2,0),C13),reference[#All],4,0))</f>
        <v/>
      </c>
      <c r="G13" s="23" t="str">
        <f>_xlfn.IFNA(VLOOKUP(A13,sources[#All],6,0),"")</f>
        <v/>
      </c>
      <c r="H13" s="23" t="str">
        <f>_xlfn.IFNA(VLOOKUP(A13,sources[#All],8,0),"")</f>
        <v/>
      </c>
      <c r="I13" s="23" t="str">
        <f>IF(ISBLANK(A13),"",VLOOKUP($I$1,general[#All],2,0))</f>
        <v/>
      </c>
      <c r="J13" s="23" t="str">
        <f>IF(ISBLANK(A13),"",VLOOKUP($J$1,general[#All],2,0))</f>
        <v/>
      </c>
      <c r="K13" s="23" t="str">
        <f t="shared" si="1"/>
        <v/>
      </c>
      <c r="L13" s="23" t="str">
        <f>IF(ISBLANK(A13),"",VLOOKUP($L$1,general[#All],2,0))</f>
        <v/>
      </c>
      <c r="M13" s="24" t="str">
        <f>IF(ISBLANK(A13),"",VLOOKUP($M$1,general[#All],2,0))</f>
        <v/>
      </c>
    </row>
    <row r="14" spans="1:13" ht="15.6" x14ac:dyDescent="0.3">
      <c r="F14" s="23" t="str">
        <f>IF(ISBLANK(A14),"",VLOOKUP(CONCATENATE(VLOOKUP("source_system",general[#All],2,0),C14),reference[#All],4,0))</f>
        <v/>
      </c>
      <c r="G14" s="23" t="str">
        <f>_xlfn.IFNA(VLOOKUP(A14,sources[#All],6,0),"")</f>
        <v/>
      </c>
      <c r="H14" s="23" t="str">
        <f>_xlfn.IFNA(VLOOKUP(A14,sources[#All],8,0),"")</f>
        <v/>
      </c>
      <c r="I14" s="23" t="str">
        <f>IF(ISBLANK(A14),"",VLOOKUP($I$1,general[#All],2,0))</f>
        <v/>
      </c>
      <c r="J14" s="23" t="str">
        <f>IF(ISBLANK(A14),"",VLOOKUP($J$1,general[#All],2,0))</f>
        <v/>
      </c>
      <c r="K14" s="23" t="str">
        <f t="shared" si="1"/>
        <v/>
      </c>
      <c r="L14" s="23" t="str">
        <f>IF(ISBLANK(A14),"",VLOOKUP($L$1,general[#All],2,0))</f>
        <v/>
      </c>
      <c r="M14" s="24" t="str">
        <f>IF(ISBLANK(A14),"",VLOOKUP($M$1,general[#All],2,0))</f>
        <v/>
      </c>
    </row>
    <row r="15" spans="1:13" ht="15.6" x14ac:dyDescent="0.3">
      <c r="F15" s="23" t="str">
        <f>IF(ISBLANK(A15),"",VLOOKUP(CONCATENATE(VLOOKUP("source_system",general[#All],2,0),C15),reference[#All],4,0))</f>
        <v/>
      </c>
      <c r="G15" s="23" t="str">
        <f>_xlfn.IFNA(VLOOKUP(A15,sources[#All],6,0),"")</f>
        <v/>
      </c>
      <c r="H15" s="23" t="str">
        <f>_xlfn.IFNA(VLOOKUP(A15,sources[#All],8,0),"")</f>
        <v/>
      </c>
      <c r="I15" s="23" t="str">
        <f>IF(ISBLANK(A15),"",VLOOKUP($I$1,general[#All],2,0))</f>
        <v/>
      </c>
      <c r="J15" s="23" t="str">
        <f>IF(ISBLANK(A15),"",VLOOKUP($J$1,general[#All],2,0))</f>
        <v/>
      </c>
      <c r="K15" s="23" t="str">
        <f t="shared" si="1"/>
        <v/>
      </c>
      <c r="L15" s="23" t="str">
        <f>IF(ISBLANK(A15),"",VLOOKUP($L$1,general[#All],2,0))</f>
        <v/>
      </c>
      <c r="M15" s="24" t="str">
        <f>IF(ISBLANK(A15),"",VLOOKUP($M$1,general[#All],2,0))</f>
        <v/>
      </c>
    </row>
    <row r="16" spans="1:13" ht="15.6" x14ac:dyDescent="0.3">
      <c r="F16" s="23" t="str">
        <f>IF(ISBLANK(A16),"",VLOOKUP(CONCATENATE(VLOOKUP("source_system",general[#All],2,0),C16),reference[#All],4,0))</f>
        <v/>
      </c>
      <c r="G16" s="23" t="str">
        <f>_xlfn.IFNA(VLOOKUP(A16,sources[#All],6,0),"")</f>
        <v/>
      </c>
      <c r="H16" s="23" t="str">
        <f>_xlfn.IFNA(VLOOKUP(A16,sources[#All],8,0),"")</f>
        <v/>
      </c>
      <c r="I16" s="23" t="str">
        <f>IF(ISBLANK(A16),"",VLOOKUP($I$1,general[#All],2,0))</f>
        <v/>
      </c>
      <c r="J16" s="23" t="str">
        <f>IF(ISBLANK(A16),"",VLOOKUP($J$1,general[#All],2,0))</f>
        <v/>
      </c>
      <c r="K16" s="23" t="str">
        <f t="shared" si="1"/>
        <v/>
      </c>
      <c r="L16" s="23" t="str">
        <f>IF(ISBLANK(A16),"",VLOOKUP($L$1,general[#All],2,0))</f>
        <v/>
      </c>
      <c r="M16" s="24" t="str">
        <f>IF(ISBLANK(A16),"",VLOOKUP($M$1,general[#All],2,0))</f>
        <v/>
      </c>
    </row>
    <row r="17" spans="6:13" ht="15.6" x14ac:dyDescent="0.3">
      <c r="F17" s="23" t="str">
        <f>IF(ISBLANK(A17),"",VLOOKUP(CONCATENATE(VLOOKUP("source_system",general[#All],2,0),C17),reference[#All],4,0))</f>
        <v/>
      </c>
      <c r="G17" s="23" t="str">
        <f>_xlfn.IFNA(VLOOKUP(A17,sources[#All],6,0),"")</f>
        <v/>
      </c>
      <c r="H17" s="23" t="str">
        <f>_xlfn.IFNA(VLOOKUP(A17,sources[#All],8,0),"")</f>
        <v/>
      </c>
      <c r="I17" s="23" t="str">
        <f>IF(ISBLANK(A17),"",VLOOKUP($I$1,general[#All],2,0))</f>
        <v/>
      </c>
      <c r="J17" s="23" t="str">
        <f>IF(ISBLANK(A17),"",VLOOKUP($J$1,general[#All],2,0))</f>
        <v/>
      </c>
      <c r="K17" s="23" t="str">
        <f t="shared" si="1"/>
        <v/>
      </c>
      <c r="L17" s="23" t="str">
        <f>IF(ISBLANK(A17),"",VLOOKUP($L$1,general[#All],2,0))</f>
        <v/>
      </c>
      <c r="M17" s="24" t="str">
        <f>IF(ISBLANK(A17),"",VLOOKUP($M$1,general[#All],2,0))</f>
        <v/>
      </c>
    </row>
    <row r="18" spans="6:13" ht="15.6" x14ac:dyDescent="0.3">
      <c r="F18" s="23" t="str">
        <f>IF(ISBLANK(A18),"",VLOOKUP(CONCATENATE(VLOOKUP("source_system",general[#All],2,0),C18),reference[#All],4,0))</f>
        <v/>
      </c>
      <c r="G18" s="23" t="str">
        <f>_xlfn.IFNA(VLOOKUP(A18,sources[#All],6,0),"")</f>
        <v/>
      </c>
      <c r="H18" s="23" t="str">
        <f>_xlfn.IFNA(VLOOKUP(A18,sources[#All],8,0),"")</f>
        <v/>
      </c>
      <c r="I18" s="23" t="str">
        <f>IF(ISBLANK(A18),"",VLOOKUP($I$1,general[#All],2,0))</f>
        <v/>
      </c>
      <c r="J18" s="23" t="str">
        <f>IF(ISBLANK(A18),"",VLOOKUP($J$1,general[#All],2,0))</f>
        <v/>
      </c>
      <c r="K18" s="23" t="str">
        <f t="shared" si="1"/>
        <v/>
      </c>
      <c r="L18" s="23" t="str">
        <f>IF(ISBLANK(A18),"",VLOOKUP($L$1,general[#All],2,0))</f>
        <v/>
      </c>
      <c r="M18" s="24" t="str">
        <f>IF(ISBLANK(A18),"",VLOOKUP($M$1,general[#All],2,0))</f>
        <v/>
      </c>
    </row>
    <row r="19" spans="6:13" ht="15.6" x14ac:dyDescent="0.3">
      <c r="F19" s="23" t="str">
        <f>IF(ISBLANK(A19),"",VLOOKUP(CONCATENATE(VLOOKUP("source_system",general[#All],2,0),C19),reference[#All],4,0))</f>
        <v/>
      </c>
      <c r="G19" s="23" t="str">
        <f>_xlfn.IFNA(VLOOKUP(A19,sources[#All],6,0),"")</f>
        <v/>
      </c>
      <c r="H19" s="23" t="str">
        <f>_xlfn.IFNA(VLOOKUP(A19,sources[#All],8,0),"")</f>
        <v/>
      </c>
      <c r="I19" s="23" t="str">
        <f>IF(ISBLANK(A19),"",VLOOKUP($I$1,general[#All],2,0))</f>
        <v/>
      </c>
      <c r="J19" s="23" t="str">
        <f>IF(ISBLANK(A19),"",VLOOKUP($J$1,general[#All],2,0))</f>
        <v/>
      </c>
      <c r="K19" s="23" t="str">
        <f t="shared" si="1"/>
        <v/>
      </c>
      <c r="L19" s="23" t="str">
        <f>IF(ISBLANK(A19),"",VLOOKUP($L$1,general[#All],2,0))</f>
        <v/>
      </c>
      <c r="M19" s="24" t="str">
        <f>IF(ISBLANK(A19),"",VLOOKUP($M$1,general[#All],2,0))</f>
        <v/>
      </c>
    </row>
    <row r="20" spans="6:13" ht="15.6" x14ac:dyDescent="0.3">
      <c r="F20" s="23" t="str">
        <f>IF(ISBLANK(A20),"",VLOOKUP(CONCATENATE(VLOOKUP("source_system",general[#All],2,0),C20),reference[#All],4,0))</f>
        <v/>
      </c>
      <c r="G20" s="23" t="str">
        <f>_xlfn.IFNA(VLOOKUP(A20,sources[#All],6,0),"")</f>
        <v/>
      </c>
      <c r="H20" s="23" t="str">
        <f>_xlfn.IFNA(VLOOKUP(A20,sources[#All],8,0),"")</f>
        <v/>
      </c>
      <c r="I20" s="23" t="str">
        <f>IF(ISBLANK(A20),"",VLOOKUP($I$1,general[#All],2,0))</f>
        <v/>
      </c>
      <c r="J20" s="23" t="str">
        <f>IF(ISBLANK(A20),"",VLOOKUP($J$1,general[#All],2,0))</f>
        <v/>
      </c>
      <c r="K20" s="23" t="str">
        <f t="shared" si="1"/>
        <v/>
      </c>
      <c r="L20" s="23" t="str">
        <f>IF(ISBLANK(A20),"",VLOOKUP($L$1,general[#All],2,0))</f>
        <v/>
      </c>
      <c r="M20" s="24" t="str">
        <f>IF(ISBLANK(A20),"",VLOOKUP($M$1,general[#All],2,0))</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B8597-88B7-4D70-B439-063D3E64A4EB}">
  <sheetPr codeName="Sheet7"/>
  <dimension ref="A1:G18"/>
  <sheetViews>
    <sheetView workbookViewId="0">
      <selection activeCell="B6" sqref="B6"/>
    </sheetView>
  </sheetViews>
  <sheetFormatPr defaultRowHeight="14.4" x14ac:dyDescent="0.3"/>
  <cols>
    <col min="1" max="1" width="23" bestFit="1" customWidth="1"/>
    <col min="2" max="2" width="16.88671875" customWidth="1"/>
    <col min="3" max="3" width="22.21875" customWidth="1"/>
    <col min="4" max="4" width="23.21875" bestFit="1" customWidth="1"/>
    <col min="5" max="5" width="15.6640625" bestFit="1" customWidth="1"/>
    <col min="6" max="6" width="21" bestFit="1" customWidth="1"/>
    <col min="7" max="7" width="18.6640625" bestFit="1" customWidth="1"/>
  </cols>
  <sheetData>
    <row r="1" spans="1:7" ht="15.6" x14ac:dyDescent="0.3">
      <c r="A1" s="16" t="str" cm="1">
        <f t="array" ref="A1:A6">_xlfn._xlws.FILTER(sources[[#All],[sat_target_table]:[sat_target_table]], sources[[#All],[sat_target_table]]&lt;&gt;"")</f>
        <v>sat_target_table</v>
      </c>
      <c r="B1" s="11" t="s">
        <v>119</v>
      </c>
      <c r="C1" s="11" t="s">
        <v>120</v>
      </c>
      <c r="D1" s="11" t="s">
        <v>99</v>
      </c>
      <c r="E1" s="1" t="s">
        <v>101</v>
      </c>
      <c r="F1" s="1" t="s">
        <v>102</v>
      </c>
      <c r="G1" s="11" t="s">
        <v>103</v>
      </c>
    </row>
    <row r="2" spans="1:7" ht="15.6" x14ac:dyDescent="0.3">
      <c r="A2" s="1" t="str">
        <v>SAT_CORE_INDI</v>
      </c>
      <c r="B2" s="1" t="str">
        <f>IF(ISBLANK(A2),"",VLOOKUP($B$1,general[#All],2,0))</f>
        <v>hash_key_sat</v>
      </c>
      <c r="C2" s="1" t="str">
        <f>IF(ISBLANK(A2),"",VLOOKUP($C$1,general[#All],2,0))</f>
        <v>string</v>
      </c>
      <c r="D2" s="1" t="str">
        <f>IF(ISBLANK(A2),"",CONCATENATE("dv_hkey_",LOWER(A2)))</f>
        <v>dv_hkey_sat_core_indi</v>
      </c>
      <c r="E2" s="1" t="str">
        <f>IF(ISBLANK(A2),"",VLOOKUP($E$1,general[#All],2,0))</f>
        <v>hash_diff</v>
      </c>
      <c r="F2" s="1" t="str">
        <f>IF(ISBLANK(A2),"",VLOOKUP($F$1,general[#All],2,0))</f>
        <v>string</v>
      </c>
      <c r="G2" s="1" t="str">
        <f>IF(ISBLANK(A2),"",VLOOKUP($G$1,general[#All],2,0))</f>
        <v>dv_hsh_dif</v>
      </c>
    </row>
    <row r="3" spans="1:7" ht="15.6" x14ac:dyDescent="0.3">
      <c r="A3" s="1" t="str">
        <v>SAT_CARD_INDI</v>
      </c>
      <c r="B3" s="1" t="str">
        <f>IF(ISBLANK(A3),"",VLOOKUP($B$1,general[#All],2,0))</f>
        <v>hash_key_sat</v>
      </c>
      <c r="C3" s="1" t="str">
        <f>IF(ISBLANK(A3),"",VLOOKUP($C$1,general[#All],2,0))</f>
        <v>string</v>
      </c>
      <c r="D3" s="1" t="str">
        <f t="shared" ref="D3:D18" si="0">IF(ISBLANK(A3),"",CONCATENATE("dv_hkey_",LOWER(A3)))</f>
        <v>dv_hkey_sat_card_indi</v>
      </c>
      <c r="E3" s="1" t="str">
        <f>IF(ISBLANK(A3),"",VLOOKUP($E$1,general[#All],2,0))</f>
        <v>hash_diff</v>
      </c>
      <c r="F3" s="1" t="str">
        <f>IF(ISBLANK(A3),"",VLOOKUP($F$1,general[#All],2,0))</f>
        <v>string</v>
      </c>
      <c r="G3" s="12" t="str">
        <f>IF(ISBLANK(A3),"",VLOOKUP($G$1,general[#All],2,0))</f>
        <v>dv_hsh_dif</v>
      </c>
    </row>
    <row r="4" spans="1:7" ht="15.6" x14ac:dyDescent="0.3">
      <c r="A4" s="1" t="str">
        <v>SAT_CRM_INDI</v>
      </c>
      <c r="B4" s="1" t="str">
        <f>IF(ISBLANK(A4),"",VLOOKUP($B$1,general[#All],2,0))</f>
        <v>hash_key_sat</v>
      </c>
      <c r="C4" s="1" t="str">
        <f>IF(ISBLANK(A4),"",VLOOKUP($C$1,general[#All],2,0))</f>
        <v>string</v>
      </c>
      <c r="D4" s="1" t="str">
        <f t="shared" si="0"/>
        <v>dv_hkey_sat_crm_indi</v>
      </c>
      <c r="E4" s="1" t="str">
        <f>IF(ISBLANK(A4),"",VLOOKUP($E$1,general[#All],2,0))</f>
        <v>hash_diff</v>
      </c>
      <c r="F4" s="1" t="str">
        <f>IF(ISBLANK(A4),"",VLOOKUP($F$1,general[#All],2,0))</f>
        <v>string</v>
      </c>
      <c r="G4" s="12" t="str">
        <f>IF(ISBLANK(A4),"",VLOOKUP($G$1,general[#All],2,0))</f>
        <v>dv_hsh_dif</v>
      </c>
    </row>
    <row r="5" spans="1:7" ht="15.6" x14ac:dyDescent="0.3">
      <c r="A5" s="1" t="str">
        <v>SAT_CORE_CORP</v>
      </c>
      <c r="B5" s="1" t="str">
        <f>IF(ISBLANK(A5),"",VLOOKUP($B$1,general[#All],2,0))</f>
        <v>hash_key_sat</v>
      </c>
      <c r="C5" s="1" t="str">
        <f>IF(ISBLANK(A5),"",VLOOKUP($C$1,general[#All],2,0))</f>
        <v>string</v>
      </c>
      <c r="D5" s="1" t="str">
        <f t="shared" si="0"/>
        <v>dv_hkey_sat_core_corp</v>
      </c>
      <c r="E5" s="1" t="str">
        <f>IF(ISBLANK(A5),"",VLOOKUP($E$1,general[#All],2,0))</f>
        <v>hash_diff</v>
      </c>
      <c r="F5" s="1" t="str">
        <f>IF(ISBLANK(A5),"",VLOOKUP($F$1,general[#All],2,0))</f>
        <v>string</v>
      </c>
      <c r="G5" s="12" t="str">
        <f>IF(ISBLANK(A5),"",VLOOKUP($G$1,general[#All],2,0))</f>
        <v>dv_hsh_dif</v>
      </c>
    </row>
    <row r="6" spans="1:7" ht="15.6" x14ac:dyDescent="0.3">
      <c r="A6" s="1" t="str">
        <v>SAT_CARD_CORP</v>
      </c>
      <c r="B6" s="1" t="str">
        <f>IF(ISBLANK(A6),"",VLOOKUP($B$1,general[#All],2,0))</f>
        <v>hash_key_sat</v>
      </c>
      <c r="C6" s="1" t="str">
        <f>IF(ISBLANK(A6),"",VLOOKUP($C$1,general[#All],2,0))</f>
        <v>string</v>
      </c>
      <c r="D6" s="1" t="str">
        <f t="shared" si="0"/>
        <v>dv_hkey_sat_card_corp</v>
      </c>
      <c r="E6" s="1" t="str">
        <f>IF(ISBLANK(A6),"",VLOOKUP($E$1,general[#All],2,0))</f>
        <v>hash_diff</v>
      </c>
      <c r="F6" s="1" t="str">
        <f>IF(ISBLANK(A6),"",VLOOKUP($F$1,general[#All],2,0))</f>
        <v>string</v>
      </c>
      <c r="G6" s="12" t="str">
        <f>IF(ISBLANK(A6),"",VLOOKUP($G$1,general[#All],2,0))</f>
        <v>dv_hsh_dif</v>
      </c>
    </row>
    <row r="7" spans="1:7" ht="15.6" x14ac:dyDescent="0.3">
      <c r="B7" s="1" t="str">
        <f>IF(ISBLANK(A7),"",VLOOKUP($B$1,general[#All],2,0))</f>
        <v/>
      </c>
      <c r="C7" s="1" t="str">
        <f>IF(ISBLANK(A7),"",VLOOKUP($C$1,general[#All],2,0))</f>
        <v/>
      </c>
      <c r="D7" s="1" t="str">
        <f t="shared" si="0"/>
        <v/>
      </c>
      <c r="E7" s="1" t="str">
        <f>IF(ISBLANK(A7),"",VLOOKUP($E$1,general[#All],2,0))</f>
        <v/>
      </c>
      <c r="F7" s="1" t="str">
        <f>IF(ISBLANK(A7),"",VLOOKUP($F$1,general[#All],2,0))</f>
        <v/>
      </c>
      <c r="G7" s="12" t="str">
        <f>IF(ISBLANK(A7),"",VLOOKUP($G$1,general[#All],2,0))</f>
        <v/>
      </c>
    </row>
    <row r="8" spans="1:7" ht="15.6" x14ac:dyDescent="0.3">
      <c r="B8" s="1" t="str">
        <f>IF(ISBLANK(A8),"",VLOOKUP($B$1,general[#All],2,0))</f>
        <v/>
      </c>
      <c r="C8" s="1" t="str">
        <f>IF(ISBLANK(A8),"",VLOOKUP($C$1,general[#All],2,0))</f>
        <v/>
      </c>
      <c r="D8" s="1" t="str">
        <f t="shared" si="0"/>
        <v/>
      </c>
      <c r="E8" s="1" t="str">
        <f>IF(ISBLANK(A8),"",VLOOKUP($E$1,general[#All],2,0))</f>
        <v/>
      </c>
      <c r="F8" s="1" t="str">
        <f>IF(ISBLANK(A8),"",VLOOKUP($F$1,general[#All],2,0))</f>
        <v/>
      </c>
      <c r="G8" s="12" t="str">
        <f>IF(ISBLANK(A8),"",VLOOKUP($G$1,general[#All],2,0))</f>
        <v/>
      </c>
    </row>
    <row r="9" spans="1:7" ht="15.6" x14ac:dyDescent="0.3">
      <c r="B9" s="1" t="str">
        <f>IF(ISBLANK(A9),"",VLOOKUP($B$1,general[#All],2,0))</f>
        <v/>
      </c>
      <c r="C9" s="1" t="str">
        <f>IF(ISBLANK(A9),"",VLOOKUP($C$1,general[#All],2,0))</f>
        <v/>
      </c>
      <c r="D9" s="1" t="str">
        <f t="shared" si="0"/>
        <v/>
      </c>
      <c r="E9" s="1" t="str">
        <f>IF(ISBLANK(A9),"",VLOOKUP($E$1,general[#All],2,0))</f>
        <v/>
      </c>
      <c r="F9" s="1" t="str">
        <f>IF(ISBLANK(A9),"",VLOOKUP($F$1,general[#All],2,0))</f>
        <v/>
      </c>
      <c r="G9" s="12" t="str">
        <f>IF(ISBLANK(A9),"",VLOOKUP($G$1,general[#All],2,0))</f>
        <v/>
      </c>
    </row>
    <row r="10" spans="1:7" ht="15.6" x14ac:dyDescent="0.3">
      <c r="B10" s="1" t="str">
        <f>IF(ISBLANK(A10),"",VLOOKUP($B$1,general[#All],2,0))</f>
        <v/>
      </c>
      <c r="C10" s="1" t="str">
        <f>IF(ISBLANK(A10),"",VLOOKUP($C$1,general[#All],2,0))</f>
        <v/>
      </c>
      <c r="D10" s="1" t="str">
        <f t="shared" si="0"/>
        <v/>
      </c>
      <c r="E10" s="1" t="str">
        <f>IF(ISBLANK(A10),"",VLOOKUP($E$1,general[#All],2,0))</f>
        <v/>
      </c>
      <c r="F10" s="1" t="str">
        <f>IF(ISBLANK(A10),"",VLOOKUP($F$1,general[#All],2,0))</f>
        <v/>
      </c>
      <c r="G10" s="12" t="str">
        <f>IF(ISBLANK(A10),"",VLOOKUP($G$1,general[#All],2,0))</f>
        <v/>
      </c>
    </row>
    <row r="11" spans="1:7" ht="15.6" x14ac:dyDescent="0.3">
      <c r="B11" s="1" t="str">
        <f>IF(ISBLANK(A11),"",VLOOKUP($B$1,general[#All],2,0))</f>
        <v/>
      </c>
      <c r="C11" s="1" t="str">
        <f>IF(ISBLANK(A11),"",VLOOKUP($C$1,general[#All],2,0))</f>
        <v/>
      </c>
      <c r="D11" s="1" t="str">
        <f t="shared" si="0"/>
        <v/>
      </c>
      <c r="E11" s="1" t="str">
        <f>IF(ISBLANK(A11),"",VLOOKUP($E$1,general[#All],2,0))</f>
        <v/>
      </c>
      <c r="F11" s="1" t="str">
        <f>IF(ISBLANK(A11),"",VLOOKUP($F$1,general[#All],2,0))</f>
        <v/>
      </c>
      <c r="G11" s="12" t="str">
        <f>IF(ISBLANK(A11),"",VLOOKUP($G$1,general[#All],2,0))</f>
        <v/>
      </c>
    </row>
    <row r="12" spans="1:7" ht="15.6" x14ac:dyDescent="0.3">
      <c r="B12" s="1" t="str">
        <f>IF(ISBLANK(A12),"",VLOOKUP($B$1,general[#All],2,0))</f>
        <v/>
      </c>
      <c r="C12" s="1" t="str">
        <f>IF(ISBLANK(A12),"",VLOOKUP($C$1,general[#All],2,0))</f>
        <v/>
      </c>
      <c r="D12" s="1" t="str">
        <f t="shared" si="0"/>
        <v/>
      </c>
      <c r="E12" s="1" t="str">
        <f>IF(ISBLANK(A12),"",VLOOKUP($E$1,general[#All],2,0))</f>
        <v/>
      </c>
      <c r="F12" s="1" t="str">
        <f>IF(ISBLANK(A12),"",VLOOKUP($F$1,general[#All],2,0))</f>
        <v/>
      </c>
      <c r="G12" s="12" t="str">
        <f>IF(ISBLANK(A12),"",VLOOKUP($G$1,general[#All],2,0))</f>
        <v/>
      </c>
    </row>
    <row r="13" spans="1:7" ht="15.6" x14ac:dyDescent="0.3">
      <c r="B13" s="1" t="str">
        <f>IF(ISBLANK(A13),"",VLOOKUP($B$1,general[#All],2,0))</f>
        <v/>
      </c>
      <c r="C13" s="1" t="str">
        <f>IF(ISBLANK(A13),"",VLOOKUP($C$1,general[#All],2,0))</f>
        <v/>
      </c>
      <c r="D13" s="1" t="str">
        <f t="shared" si="0"/>
        <v/>
      </c>
      <c r="E13" s="1" t="str">
        <f>IF(ISBLANK(A13),"",VLOOKUP($E$1,general[#All],2,0))</f>
        <v/>
      </c>
      <c r="F13" s="1" t="str">
        <f>IF(ISBLANK(A13),"",VLOOKUP($F$1,general[#All],2,0))</f>
        <v/>
      </c>
      <c r="G13" s="12" t="str">
        <f>IF(ISBLANK(A13),"",VLOOKUP($G$1,general[#All],2,0))</f>
        <v/>
      </c>
    </row>
    <row r="14" spans="1:7" ht="15.6" x14ac:dyDescent="0.3">
      <c r="B14" s="1" t="str">
        <f>IF(ISBLANK(A14),"",VLOOKUP($B$1,general[#All],2,0))</f>
        <v/>
      </c>
      <c r="C14" s="1" t="str">
        <f>IF(ISBLANK(A14),"",VLOOKUP($C$1,general[#All],2,0))</f>
        <v/>
      </c>
      <c r="D14" s="1" t="str">
        <f t="shared" si="0"/>
        <v/>
      </c>
      <c r="E14" s="1" t="str">
        <f>IF(ISBLANK(A14),"",VLOOKUP($E$1,general[#All],2,0))</f>
        <v/>
      </c>
      <c r="F14" s="1" t="str">
        <f>IF(ISBLANK(A14),"",VLOOKUP($F$1,general[#All],2,0))</f>
        <v/>
      </c>
      <c r="G14" s="12" t="str">
        <f>IF(ISBLANK(A14),"",VLOOKUP($G$1,general[#All],2,0))</f>
        <v/>
      </c>
    </row>
    <row r="15" spans="1:7" ht="15.6" x14ac:dyDescent="0.3">
      <c r="B15" s="1" t="str">
        <f>IF(ISBLANK(A15),"",VLOOKUP($B$1,general[#All],2,0))</f>
        <v/>
      </c>
      <c r="C15" s="1" t="str">
        <f>IF(ISBLANK(A15),"",VLOOKUP($C$1,general[#All],2,0))</f>
        <v/>
      </c>
      <c r="D15" s="1" t="str">
        <f t="shared" si="0"/>
        <v/>
      </c>
      <c r="E15" s="1" t="str">
        <f>IF(ISBLANK(A15),"",VLOOKUP($E$1,general[#All],2,0))</f>
        <v/>
      </c>
      <c r="F15" s="1" t="str">
        <f>IF(ISBLANK(A15),"",VLOOKUP($F$1,general[#All],2,0))</f>
        <v/>
      </c>
      <c r="G15" s="12" t="str">
        <f>IF(ISBLANK(A15),"",VLOOKUP($G$1,general[#All],2,0))</f>
        <v/>
      </c>
    </row>
    <row r="16" spans="1:7" ht="15.6" x14ac:dyDescent="0.3">
      <c r="B16" s="1" t="str">
        <f>IF(ISBLANK(A16),"",VLOOKUP($B$1,general[#All],2,0))</f>
        <v/>
      </c>
      <c r="C16" s="1" t="str">
        <f>IF(ISBLANK(A16),"",VLOOKUP($C$1,general[#All],2,0))</f>
        <v/>
      </c>
      <c r="D16" s="1" t="str">
        <f t="shared" si="0"/>
        <v/>
      </c>
      <c r="E16" s="1" t="str">
        <f>IF(ISBLANK(A16),"",VLOOKUP($E$1,general[#All],2,0))</f>
        <v/>
      </c>
      <c r="F16" s="1" t="str">
        <f>IF(ISBLANK(A16),"",VLOOKUP($F$1,general[#All],2,0))</f>
        <v/>
      </c>
      <c r="G16" s="12" t="str">
        <f>IF(ISBLANK(A16),"",VLOOKUP($G$1,general[#All],2,0))</f>
        <v/>
      </c>
    </row>
    <row r="17" spans="2:7" ht="15.6" x14ac:dyDescent="0.3">
      <c r="B17" s="1" t="str">
        <f>IF(ISBLANK(A17),"",VLOOKUP($B$1,general[#All],2,0))</f>
        <v/>
      </c>
      <c r="C17" s="1" t="str">
        <f>IF(ISBLANK(A17),"",VLOOKUP($C$1,general[#All],2,0))</f>
        <v/>
      </c>
      <c r="D17" s="1" t="str">
        <f t="shared" si="0"/>
        <v/>
      </c>
      <c r="E17" s="1" t="str">
        <f>IF(ISBLANK(A17),"",VLOOKUP($E$1,general[#All],2,0))</f>
        <v/>
      </c>
      <c r="F17" s="1" t="str">
        <f>IF(ISBLANK(A17),"",VLOOKUP($F$1,general[#All],2,0))</f>
        <v/>
      </c>
      <c r="G17" s="12" t="str">
        <f>IF(ISBLANK(A17),"",VLOOKUP($G$1,general[#All],2,0))</f>
        <v/>
      </c>
    </row>
    <row r="18" spans="2:7" ht="15.6" x14ac:dyDescent="0.3">
      <c r="B18" s="1" t="str">
        <f>IF(ISBLANK(A18),"",VLOOKUP($B$1,general[#All],2,0))</f>
        <v/>
      </c>
      <c r="C18" s="1" t="str">
        <f>IF(ISBLANK(A18),"",VLOOKUP($C$1,general[#All],2,0))</f>
        <v/>
      </c>
      <c r="D18" s="1" t="str">
        <f t="shared" si="0"/>
        <v/>
      </c>
      <c r="E18" s="1" t="str">
        <f>IF(ISBLANK(A18),"",VLOOKUP($E$1,general[#All],2,0))</f>
        <v/>
      </c>
      <c r="F18" s="1" t="str">
        <f>IF(ISBLANK(A18),"",VLOOKUP($F$1,general[#All],2,0))</f>
        <v/>
      </c>
      <c r="G18" s="12" t="str">
        <f>IF(ISBLANK(A18),"",VLOOKUP($G$1,general[#All],2,0))</f>
        <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57F3F-302A-4CA9-BC1D-C9C675D739FB}">
  <sheetPr codeName="Sheet8"/>
  <dimension ref="A1:D27"/>
  <sheetViews>
    <sheetView workbookViewId="0">
      <selection sqref="A1:A1048576"/>
    </sheetView>
  </sheetViews>
  <sheetFormatPr defaultRowHeight="14.4" x14ac:dyDescent="0.3"/>
  <cols>
    <col min="1" max="2" width="22.109375" customWidth="1"/>
    <col min="3" max="3" width="30.88671875" bestFit="1" customWidth="1"/>
    <col min="4" max="6" width="28.5546875" bestFit="1" customWidth="1"/>
  </cols>
  <sheetData>
    <row r="1" spans="1:4" x14ac:dyDescent="0.3">
      <c r="A1" t="s">
        <v>141</v>
      </c>
      <c r="B1" t="s">
        <v>138</v>
      </c>
      <c r="C1" t="s">
        <v>56</v>
      </c>
      <c r="D1" t="s">
        <v>32</v>
      </c>
    </row>
    <row r="2" spans="1:4" ht="15.6" x14ac:dyDescent="0.3">
      <c r="A2" s="17" t="str">
        <f>CONCATENATE(reference[[#This Row],[source_system]],reference[[#This Row],[source_type]])</f>
        <v>oraclechar</v>
      </c>
      <c r="B2" s="17" t="s">
        <v>123</v>
      </c>
      <c r="C2" s="17" t="s">
        <v>58</v>
      </c>
      <c r="D2" s="1" t="s">
        <v>24</v>
      </c>
    </row>
    <row r="3" spans="1:4" ht="15.6" x14ac:dyDescent="0.3">
      <c r="A3" s="17" t="str">
        <f>CONCATENATE(reference[[#This Row],[source_system]],reference[[#This Row],[source_type]])</f>
        <v>oraclevarchar2</v>
      </c>
      <c r="B3" s="17" t="s">
        <v>123</v>
      </c>
      <c r="C3" s="1" t="s">
        <v>124</v>
      </c>
      <c r="D3" s="1" t="s">
        <v>24</v>
      </c>
    </row>
    <row r="4" spans="1:4" ht="15.6" x14ac:dyDescent="0.3">
      <c r="A4" s="17" t="str">
        <f>CONCATENATE(reference[[#This Row],[source_system]],reference[[#This Row],[source_type]])</f>
        <v>oraclenumber</v>
      </c>
      <c r="B4" s="17" t="s">
        <v>123</v>
      </c>
      <c r="C4" s="1" t="s">
        <v>125</v>
      </c>
      <c r="D4" s="1" t="s">
        <v>59</v>
      </c>
    </row>
    <row r="5" spans="1:4" ht="15.6" x14ac:dyDescent="0.3">
      <c r="A5" s="17" t="str">
        <f>CONCATENATE(reference[[#This Row],[source_system]],reference[[#This Row],[source_type]])</f>
        <v>oraclefloat</v>
      </c>
      <c r="B5" s="17" t="s">
        <v>123</v>
      </c>
      <c r="C5" s="2" t="s">
        <v>126</v>
      </c>
      <c r="D5" s="1" t="s">
        <v>126</v>
      </c>
    </row>
    <row r="6" spans="1:4" ht="15.6" x14ac:dyDescent="0.3">
      <c r="A6" s="17" t="str">
        <f>CONCATENATE(reference[[#This Row],[source_system]],reference[[#This Row],[source_type]])</f>
        <v>oracledouble</v>
      </c>
      <c r="B6" s="17" t="s">
        <v>123</v>
      </c>
      <c r="C6" s="1" t="s">
        <v>60</v>
      </c>
      <c r="D6" s="1" t="s">
        <v>60</v>
      </c>
    </row>
    <row r="7" spans="1:4" ht="15.6" x14ac:dyDescent="0.3">
      <c r="A7" s="17" t="str">
        <f>CONCATENATE(reference[[#This Row],[source_system]],reference[[#This Row],[source_type]])</f>
        <v>oracledate</v>
      </c>
      <c r="B7" s="17" t="s">
        <v>123</v>
      </c>
      <c r="C7" s="1" t="s">
        <v>25</v>
      </c>
      <c r="D7" s="1" t="s">
        <v>25</v>
      </c>
    </row>
    <row r="8" spans="1:4" ht="15.6" x14ac:dyDescent="0.3">
      <c r="A8" s="17" t="str">
        <f>CONCATENATE(reference[[#This Row],[source_system]],reference[[#This Row],[source_type]])</f>
        <v>oracletimestamp</v>
      </c>
      <c r="B8" s="17" t="s">
        <v>123</v>
      </c>
      <c r="C8" s="1" t="s">
        <v>61</v>
      </c>
      <c r="D8" s="1" t="s">
        <v>130</v>
      </c>
    </row>
    <row r="9" spans="1:4" ht="15.6" x14ac:dyDescent="0.3">
      <c r="A9" s="17" t="str">
        <f>CONCATENATE(reference[[#This Row],[source_system]],reference[[#This Row],[source_type]])</f>
        <v>oracletimestamp with local time zone</v>
      </c>
      <c r="B9" s="17" t="s">
        <v>123</v>
      </c>
      <c r="C9" s="1" t="s">
        <v>127</v>
      </c>
      <c r="D9" s="1" t="s">
        <v>132</v>
      </c>
    </row>
    <row r="10" spans="1:4" ht="15.6" x14ac:dyDescent="0.3">
      <c r="A10" s="17" t="str">
        <f>CONCATENATE(reference[[#This Row],[source_system]],reference[[#This Row],[source_type]])</f>
        <v>hivetinyint</v>
      </c>
      <c r="B10" s="17" t="s">
        <v>137</v>
      </c>
      <c r="C10" s="1" t="s">
        <v>139</v>
      </c>
      <c r="D10" s="1" t="s">
        <v>59</v>
      </c>
    </row>
    <row r="11" spans="1:4" ht="15.6" x14ac:dyDescent="0.3">
      <c r="A11" s="17" t="str">
        <f>CONCATENATE(reference[[#This Row],[source_system]],reference[[#This Row],[source_type]])</f>
        <v>hivesmallint</v>
      </c>
      <c r="B11" s="17" t="s">
        <v>137</v>
      </c>
      <c r="C11" s="1" t="s">
        <v>140</v>
      </c>
      <c r="D11" s="1" t="s">
        <v>59</v>
      </c>
    </row>
    <row r="12" spans="1:4" ht="15.6" x14ac:dyDescent="0.3">
      <c r="A12" s="17" t="str">
        <f>CONCATENATE(reference[[#This Row],[source_system]],reference[[#This Row],[source_type]])</f>
        <v>hiveint</v>
      </c>
      <c r="B12" s="17" t="s">
        <v>137</v>
      </c>
      <c r="C12" s="1" t="s">
        <v>26</v>
      </c>
      <c r="D12" s="1" t="s">
        <v>59</v>
      </c>
    </row>
    <row r="13" spans="1:4" ht="15.6" x14ac:dyDescent="0.3">
      <c r="A13" s="17" t="str">
        <f>CONCATENATE(reference[[#This Row],[source_system]],reference[[#This Row],[source_type]])</f>
        <v>hivebigint</v>
      </c>
      <c r="B13" s="17" t="s">
        <v>137</v>
      </c>
      <c r="C13" s="1" t="s">
        <v>20</v>
      </c>
      <c r="D13" s="1" t="s">
        <v>129</v>
      </c>
    </row>
    <row r="14" spans="1:4" ht="15.6" x14ac:dyDescent="0.3">
      <c r="A14" s="17" t="str">
        <f>CONCATENATE(reference[[#This Row],[source_system]],reference[[#This Row],[source_type]])</f>
        <v>hivefloat</v>
      </c>
      <c r="B14" s="17" t="s">
        <v>137</v>
      </c>
      <c r="C14" s="1" t="s">
        <v>126</v>
      </c>
      <c r="D14" s="1" t="s">
        <v>126</v>
      </c>
    </row>
    <row r="15" spans="1:4" ht="15.6" x14ac:dyDescent="0.3">
      <c r="A15" s="17" t="str">
        <f>CONCATENATE(reference[[#This Row],[source_system]],reference[[#This Row],[source_type]])</f>
        <v>hivedouble</v>
      </c>
      <c r="B15" s="17" t="s">
        <v>137</v>
      </c>
      <c r="C15" s="1" t="s">
        <v>60</v>
      </c>
      <c r="D15" s="1" t="s">
        <v>60</v>
      </c>
    </row>
    <row r="16" spans="1:4" ht="15.6" x14ac:dyDescent="0.3">
      <c r="A16" s="17" t="str">
        <f>CONCATENATE(reference[[#This Row],[source_system]],reference[[#This Row],[source_type]])</f>
        <v>hivedecimal</v>
      </c>
      <c r="B16" s="17" t="s">
        <v>137</v>
      </c>
      <c r="C16" s="1" t="s">
        <v>133</v>
      </c>
      <c r="D16" s="1" t="s">
        <v>133</v>
      </c>
    </row>
    <row r="17" spans="1:4" ht="15.6" x14ac:dyDescent="0.3">
      <c r="A17" s="17" t="str">
        <f>CONCATENATE(reference[[#This Row],[source_system]],reference[[#This Row],[source_type]])</f>
        <v>hivedate</v>
      </c>
      <c r="B17" s="17" t="s">
        <v>137</v>
      </c>
      <c r="C17" s="1" t="s">
        <v>25</v>
      </c>
      <c r="D17" s="1" t="s">
        <v>25</v>
      </c>
    </row>
    <row r="18" spans="1:4" ht="15.6" x14ac:dyDescent="0.3">
      <c r="A18" s="17" t="str">
        <f>CONCATENATE(reference[[#This Row],[source_system]],reference[[#This Row],[source_type]])</f>
        <v>hivetimestamp</v>
      </c>
      <c r="B18" s="17" t="s">
        <v>137</v>
      </c>
      <c r="C18" s="1" t="s">
        <v>61</v>
      </c>
      <c r="D18" s="1" t="s">
        <v>130</v>
      </c>
    </row>
    <row r="19" spans="1:4" ht="15.6" x14ac:dyDescent="0.3">
      <c r="A19" s="17" t="str">
        <f>CONCATENATE(reference[[#This Row],[source_system]],reference[[#This Row],[source_type]])</f>
        <v>hivetimestamplocaltz</v>
      </c>
      <c r="B19" s="17" t="s">
        <v>137</v>
      </c>
      <c r="C19" s="1" t="s">
        <v>131</v>
      </c>
      <c r="D19" s="1" t="s">
        <v>132</v>
      </c>
    </row>
    <row r="20" spans="1:4" ht="15.6" x14ac:dyDescent="0.3">
      <c r="A20" s="17" t="str">
        <f>CONCATENATE(reference[[#This Row],[source_system]],reference[[#This Row],[source_type]])</f>
        <v>hivechar</v>
      </c>
      <c r="B20" s="17" t="s">
        <v>137</v>
      </c>
      <c r="C20" s="1" t="s">
        <v>58</v>
      </c>
      <c r="D20" s="1" t="s">
        <v>24</v>
      </c>
    </row>
    <row r="21" spans="1:4" ht="15.6" x14ac:dyDescent="0.3">
      <c r="A21" s="17" t="str">
        <f>CONCATENATE(reference[[#This Row],[source_system]],reference[[#This Row],[source_type]])</f>
        <v>hivevarchar</v>
      </c>
      <c r="B21" s="17" t="s">
        <v>137</v>
      </c>
      <c r="C21" s="1" t="s">
        <v>57</v>
      </c>
      <c r="D21" s="1" t="s">
        <v>24</v>
      </c>
    </row>
    <row r="22" spans="1:4" ht="15.6" x14ac:dyDescent="0.3">
      <c r="A22" s="17" t="str">
        <f>CONCATENATE(reference[[#This Row],[source_system]],reference[[#This Row],[source_type]])</f>
        <v>hivestring</v>
      </c>
      <c r="B22" s="17" t="s">
        <v>137</v>
      </c>
      <c r="C22" s="1" t="s">
        <v>24</v>
      </c>
      <c r="D22" s="1" t="s">
        <v>24</v>
      </c>
    </row>
    <row r="23" spans="1:4" ht="15.6" x14ac:dyDescent="0.3">
      <c r="A23" s="17" t="str">
        <f>CONCATENATE(reference[[#This Row],[source_system]],reference[[#This Row],[source_type]])</f>
        <v>hiveboolean</v>
      </c>
      <c r="B23" s="17" t="s">
        <v>137</v>
      </c>
      <c r="C23" s="1" t="s">
        <v>128</v>
      </c>
      <c r="D23" s="1" t="s">
        <v>128</v>
      </c>
    </row>
    <row r="24" spans="1:4" ht="15.6" x14ac:dyDescent="0.3">
      <c r="A24" s="17" t="str">
        <f>CONCATENATE(reference[[#This Row],[source_system]],reference[[#This Row],[source_type]])</f>
        <v>hivebinary</v>
      </c>
      <c r="B24" s="17" t="s">
        <v>137</v>
      </c>
      <c r="C24" s="1" t="s">
        <v>116</v>
      </c>
      <c r="D24" s="1" t="s">
        <v>116</v>
      </c>
    </row>
    <row r="25" spans="1:4" ht="15.6" x14ac:dyDescent="0.3">
      <c r="A25" s="17" t="str">
        <f>CONCATENATE(reference[[#This Row],[source_system]],reference[[#This Row],[source_type]])</f>
        <v>hivestruct</v>
      </c>
      <c r="B25" s="17" t="s">
        <v>137</v>
      </c>
      <c r="C25" s="1" t="s">
        <v>134</v>
      </c>
      <c r="D25" s="1" t="s">
        <v>134</v>
      </c>
    </row>
    <row r="26" spans="1:4" ht="15.6" x14ac:dyDescent="0.3">
      <c r="A26" s="17" t="str">
        <f>CONCATENATE(reference[[#This Row],[source_system]],reference[[#This Row],[source_type]])</f>
        <v>hivelist</v>
      </c>
      <c r="B26" s="17" t="s">
        <v>137</v>
      </c>
      <c r="C26" s="1" t="s">
        <v>135</v>
      </c>
      <c r="D26" s="1" t="s">
        <v>135</v>
      </c>
    </row>
    <row r="27" spans="1:4" ht="15.6" x14ac:dyDescent="0.3">
      <c r="A27" s="17" t="str">
        <f>CONCATENATE(reference[[#This Row],[source_system]],reference[[#This Row],[source_type]])</f>
        <v>hivemap</v>
      </c>
      <c r="B27" s="17" t="s">
        <v>137</v>
      </c>
      <c r="C27" s="1" t="s">
        <v>136</v>
      </c>
      <c r="D27" s="1" t="s">
        <v>136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Guildline</vt:lpstr>
      <vt:lpstr>Create yml</vt:lpstr>
      <vt:lpstr>general</vt:lpstr>
      <vt:lpstr>sources</vt:lpstr>
      <vt:lpstr>table_colums</vt:lpstr>
      <vt:lpstr>hub_biz_key</vt:lpstr>
      <vt:lpstr>sat_key</vt:lpstr>
      <vt:lpstr>dbt_type</vt:lpstr>
      <vt:lpstr>table_name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Giang Cao</dc:creator>
  <cp:lastModifiedBy>Cao Nguyễn Như Giang</cp:lastModifiedBy>
  <dcterms:created xsi:type="dcterms:W3CDTF">2024-11-07T02:11:21Z</dcterms:created>
  <dcterms:modified xsi:type="dcterms:W3CDTF">2024-11-19T10:39:57Z</dcterms:modified>
</cp:coreProperties>
</file>